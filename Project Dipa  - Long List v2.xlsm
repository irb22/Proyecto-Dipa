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autoCompressPictures="0"/>
  <mc:AlternateContent xmlns:mc="http://schemas.openxmlformats.org/markup-compatibility/2006">
    <mc:Choice Requires="x15">
      <x15ac:absPath xmlns:x15ac="http://schemas.microsoft.com/office/spreadsheetml/2010/11/ac" url="C:\Users\redbe\Downloads\"/>
    </mc:Choice>
  </mc:AlternateContent>
  <xr:revisionPtr revIDLastSave="0" documentId="8_{E8D7333F-768D-4E3A-A186-2515F858E184}" xr6:coauthVersionLast="47" xr6:coauthVersionMax="47" xr10:uidLastSave="{00000000-0000-0000-0000-000000000000}"/>
  <bookViews>
    <workbookView xWindow="-120" yWindow="-120" windowWidth="29040" windowHeight="15720" tabRatio="813" xr2:uid="{00000000-000D-0000-FFFF-FFFF00000000}"/>
  </bookViews>
  <sheets>
    <sheet name="I_Long List" sheetId="63" r:id="rId1"/>
    <sheet name="Sheet1" sheetId="64" r:id="rId2"/>
    <sheet name="Template" sheetId="60" r:id="rId3"/>
    <sheet name="I_Gen" sheetId="61" r:id="rId4"/>
  </sheets>
  <definedNames>
    <definedName name="_xlnm._FilterDatabase" localSheetId="0" hidden="1">'I_Long List'!$B$9:$Y$146</definedName>
    <definedName name="AlertCheck">#REF!</definedName>
    <definedName name="Author">#REF!</definedName>
    <definedName name="Base">#REF!</definedName>
    <definedName name="Check_1">#REF!</definedName>
    <definedName name="ClosingDate">#REF!</definedName>
    <definedName name="ComisiónVenta">I_Gen!#REF!</definedName>
    <definedName name="Companyname">#REF!</definedName>
    <definedName name="ComVentas">I_Gen!#REF!</definedName>
    <definedName name="DaysMonth">I_Gen!$F$35</definedName>
    <definedName name="DaysYear">I_Gen!$F$36</definedName>
    <definedName name="Email">#REF!</definedName>
    <definedName name="ForecastStartPeriod">#REF!</definedName>
    <definedName name="Header1" localSheetId="3" hidden="1">IF(COUNTA(I_Gen!$A$12:$A1048576)=0,0,INDEX(I_Gen!$A$12:$A1048576,MATCH(ROW(I_Gen!$A1048576),I_Gen!$A$12:$A1048576,TRUE)))+1</definedName>
    <definedName name="Header1" localSheetId="0" hidden="1">IF(COUNTA('I_Long List'!$A$5:$A1048576)=0,0,INDEX('I_Long List'!$A$5:$A1048576,MATCH(ROW('I_Long List'!$A1048576),'I_Long List'!$A$5:$A1048576,TRUE)))+1</definedName>
    <definedName name="Header1" localSheetId="2" hidden="1">IF(COUNTA(Template!$A$12:$A1048576)=0,0,INDEX(Template!$A$12:$A1048576,MATCH(ROW(Template!$A1048576),Template!$A$12:$A1048576,TRUE)))+1</definedName>
    <definedName name="Header1" hidden="1">IF(COUNTA(#REF!)=0,0,INDEX(#REF!,MATCH(ROW(#REF!),#REF!,TRUE)))+1</definedName>
    <definedName name="Header2" localSheetId="3" hidden="1">I_Gen!Header1-1 &amp; "." &amp; MAX(1,COUNTA(INDEX(I_Gen!$B$12:$B1048576,MATCH(I_Gen!Header1-1,I_Gen!$A$12:$A1048576,FALSE)):'I_Gen'!$B1048576))</definedName>
    <definedName name="Header2" localSheetId="0" hidden="1">'I_Long List'!Header1-1 &amp; "." &amp; MAX(1,COUNTA(INDEX('I_Long List'!#REF!,MATCH('I_Long List'!Header1-1,'I_Long List'!$A$5:$A1048576,FALSE)):'I_Long List'!#REF!))</definedName>
    <definedName name="Header2" localSheetId="2" hidden="1">Template!Header1-1 &amp; "." &amp; MAX(1,COUNTA(INDEX(Template!$B$12:$B1048576,MATCH(Template!Header1-1,Template!$A$12:$A1048576,FALSE)):'Template'!$B1048576))</definedName>
    <definedName name="Header2" hidden="1">[0]!Header1-1 &amp; "." &amp; MAX(1,COUNTA(INDEX(#REF!,MATCH([0]!Header1-1,#REF!,FALSE)):#REF!))</definedName>
    <definedName name="Header3" localSheetId="3" hidden="1">INDEX(I_Gen!$B$12:$B1048576,MATCH(I_Gen!Header3Find,I_Gen!$B$12:$B1048576,FALSE))&amp; "." &amp; MAX(1,COUNTA(INDEX(I_Gen!$C$12:$C1048576,MATCH(I_Gen!Header3Find,I_Gen!$B$12:$B1048576,FALSE)):'I_Gen'!$C1048576))</definedName>
    <definedName name="Header3" localSheetId="0" hidden="1">INDEX('I_Long List'!#REF!,MATCH('I_Long List'!Header3Find,'I_Long List'!#REF!,FALSE))&amp; "." &amp; MAX(1,COUNTA(INDEX('I_Long List'!#REF!,MATCH('I_Long List'!Header3Find,'I_Long List'!#REF!,FALSE)):'I_Long List'!#REF!))</definedName>
    <definedName name="Header3" localSheetId="2" hidden="1">INDEX(Template!$B$12:$B1048576,MATCH(Template!Header3Find,Template!$B$12:$B1048576,FALSE))&amp; "." &amp; MAX(1,COUNTA(INDEX(Template!$C$12:$C1048576,MATCH(Template!Header3Find,Template!$B$12:$B1048576,FALSE)):'Template'!$C1048576))</definedName>
    <definedName name="Header3Find" localSheetId="3" hidden="1">MID(I_Gen!Header2,1,FIND(".",I_Gen!Header2,1))&amp;MID(I_Gen!Header2,FIND(".",I_Gen!Header2,1)+1,LEN(I_Gen!Header2))-1</definedName>
    <definedName name="Header3Find" localSheetId="0" hidden="1">MID('I_Long List'!Header2,1,FIND(".",'I_Long List'!Header2,1))&amp;MID('I_Long List'!Header2,FIND(".",'I_Long List'!Header2,1)+1,LEN('I_Long List'!Header2))-1</definedName>
    <definedName name="Header3Find" localSheetId="2" hidden="1">MID(Template!Header2,1,FIND(".",Template!Header2,1))&amp;MID(Template!Header2,FIND(".",Template!Header2,1)+1,LEN(Template!Header2))-1</definedName>
    <definedName name="MasterCheck">#REF!</definedName>
    <definedName name="Model_CreatedTime">#REF!</definedName>
    <definedName name="Model_PrintedTime">#REF!</definedName>
    <definedName name="Model_SavedTime">#REF!</definedName>
    <definedName name="Model_Title">#REF!</definedName>
    <definedName name="Model_Version">#REF!</definedName>
    <definedName name="ModelStartPeriod">#REF!</definedName>
    <definedName name="MonthsYear">I_Gen!$F$34</definedName>
    <definedName name="NumLotes">#REF!</definedName>
    <definedName name="PeriodsMonth">#REF!</definedName>
    <definedName name="Phone">#REF!</definedName>
    <definedName name="_xlnm.Print_Area" localSheetId="3">I_Gen!$1:$39</definedName>
    <definedName name="_xlnm.Print_Area" localSheetId="0">'I_Long List'!$1:$6</definedName>
    <definedName name="_xlnm.Print_Area" localSheetId="2">Template!$1:$13</definedName>
    <definedName name="_xlnm.Print_Titles" localSheetId="3">I_Gen!$1:$39</definedName>
    <definedName name="_xlnm.Print_Titles" localSheetId="0">'I_Long List'!$1:$6</definedName>
    <definedName name="_xlnm.Print_Titles" localSheetId="2">Template!$1:$13</definedName>
    <definedName name="StartDate">#REF!</definedName>
    <definedName name="Tittle">#REF!</definedName>
    <definedName name="Tolerance">#REF!</definedName>
    <definedName name="vba_VersionControl">#REF!</definedName>
    <definedName name="vba_VersionDescription">#REF!</definedName>
    <definedName name="YesNo">#REF!</definedName>
  </definedNames>
  <calcPr calcId="191028" calcMode="autoNoTable"/>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60" l="1"/>
  <c r="E20" i="60"/>
  <c r="E19" i="60"/>
  <c r="E18" i="60"/>
  <c r="E22" i="60" l="1"/>
  <c r="B11" i="63"/>
  <c r="B12" i="63" s="1"/>
  <c r="B13" i="63" s="1"/>
  <c r="A2" i="63"/>
  <c r="A1" i="63"/>
  <c r="A2" i="60" l="1"/>
  <c r="A1" i="60"/>
  <c r="A13" i="61" l="1"/>
  <c r="A2" i="61"/>
  <c r="A1" i="61"/>
  <c r="A13" i="60"/>
  <c r="B16" i="61" l="1" a="1"/>
  <c r="B16" i="61" s="1"/>
  <c r="B23" i="61" s="1" a="1"/>
  <c r="B23" i="61" s="1"/>
  <c r="A5" i="60"/>
  <c r="B31" i="61" l="1" a="1"/>
  <c r="B31" i="61" s="1"/>
  <c r="A5" i="61"/>
  <c r="A6" i="60" l="1"/>
  <c r="A6" i="61"/>
  <c r="B14" i="63"/>
  <c r="B15" i="63" s="1"/>
  <c r="B16" i="63" s="1"/>
  <c r="B17" i="63" s="1"/>
  <c r="B18" i="63" s="1"/>
  <c r="B19" i="63" s="1"/>
  <c r="B20" i="63" s="1"/>
  <c r="B21" i="63" s="1"/>
  <c r="B22" i="63" s="1"/>
  <c r="B23" i="63" s="1"/>
  <c r="B24" i="63" s="1"/>
  <c r="B25" i="63" s="1"/>
  <c r="B26" i="63" s="1"/>
  <c r="B27" i="63" s="1"/>
  <c r="B28" i="63" s="1"/>
  <c r="B29" i="63" s="1"/>
  <c r="B30" i="63" s="1"/>
  <c r="B31" i="63" s="1"/>
  <c r="B32" i="63" s="1"/>
  <c r="B33" i="63" s="1"/>
  <c r="B34" i="63" s="1"/>
  <c r="B35" i="63" s="1"/>
  <c r="B36" i="63" s="1"/>
  <c r="B37" i="63" s="1"/>
  <c r="B38" i="63" s="1"/>
  <c r="B39" i="63" s="1"/>
  <c r="B40" i="63" s="1"/>
  <c r="B41" i="63" s="1"/>
  <c r="B42" i="63" s="1"/>
  <c r="B43" i="63" s="1"/>
  <c r="B44" i="63" s="1"/>
  <c r="B45" i="63" s="1"/>
  <c r="B46" i="63" s="1"/>
  <c r="B47" i="63" s="1"/>
  <c r="B48" i="63" s="1"/>
  <c r="B49" i="63" s="1"/>
  <c r="B50" i="63" s="1"/>
  <c r="B51" i="63" s="1"/>
  <c r="B52" i="63" s="1"/>
  <c r="B53" i="63" s="1"/>
  <c r="B54" i="63" s="1"/>
  <c r="B55" i="63" s="1"/>
  <c r="B56" i="63" s="1"/>
  <c r="B57" i="63" s="1"/>
  <c r="B58" i="63" s="1"/>
  <c r="B59" i="63" s="1"/>
  <c r="B60" i="63" s="1"/>
  <c r="B61" i="63" s="1"/>
  <c r="B62" i="63" s="1"/>
  <c r="B63" i="63" s="1"/>
  <c r="B64" i="63" s="1"/>
  <c r="B65" i="63" s="1"/>
  <c r="B66" i="63" s="1"/>
  <c r="B67" i="63" s="1"/>
  <c r="B68" i="63" s="1"/>
  <c r="B69" i="63" s="1"/>
  <c r="B70" i="63" s="1"/>
  <c r="B71" i="63" s="1"/>
  <c r="B72" i="63" s="1"/>
  <c r="B73" i="63" s="1"/>
  <c r="B74" i="63" s="1"/>
  <c r="B75" i="63" s="1"/>
  <c r="B76" i="63" s="1"/>
  <c r="B77" i="63" s="1"/>
  <c r="B78" i="63" s="1"/>
  <c r="B79" i="63" s="1"/>
  <c r="B80" i="63" s="1"/>
  <c r="B81" i="63" s="1"/>
  <c r="B82" i="63" s="1"/>
  <c r="B83" i="63" s="1"/>
  <c r="B84" i="63" s="1"/>
  <c r="B85" i="63" s="1"/>
  <c r="B86" i="63" s="1"/>
  <c r="B87" i="63" s="1"/>
  <c r="B88" i="63" s="1"/>
  <c r="B89" i="63" s="1"/>
  <c r="B90" i="63" s="1"/>
  <c r="B91" i="63" s="1"/>
  <c r="B92" i="63" s="1"/>
  <c r="B93" i="63" s="1"/>
  <c r="B94" i="63" s="1"/>
  <c r="B95" i="63" s="1"/>
  <c r="B96" i="63" s="1"/>
  <c r="B97" i="63" s="1"/>
  <c r="B98" i="63" s="1"/>
  <c r="B99" i="63" s="1"/>
  <c r="B100" i="63" s="1"/>
  <c r="B101" i="63" s="1"/>
  <c r="B102" i="63" s="1"/>
  <c r="B103" i="63" s="1"/>
  <c r="B104" i="63" s="1"/>
  <c r="B105" i="63" s="1"/>
  <c r="B106" i="63" s="1"/>
  <c r="B107" i="63" s="1"/>
  <c r="B108" i="63" s="1"/>
  <c r="B109" i="63" s="1"/>
  <c r="B110" i="63" s="1"/>
  <c r="B111" i="63" s="1"/>
  <c r="B112" i="63" s="1"/>
  <c r="B113" i="63" s="1"/>
  <c r="B114" i="63" s="1"/>
  <c r="B115" i="63" s="1"/>
  <c r="B116" i="63" s="1"/>
  <c r="B117" i="63" s="1"/>
  <c r="B118" i="63" s="1"/>
  <c r="B119" i="63" s="1"/>
  <c r="B120" i="63" s="1"/>
  <c r="B121" i="63" s="1"/>
  <c r="B122" i="63" s="1"/>
  <c r="B123" i="63" s="1"/>
  <c r="B124" i="63" s="1"/>
  <c r="B125" i="63" s="1"/>
  <c r="B126" i="63" s="1"/>
  <c r="B127" i="63" s="1"/>
  <c r="B128" i="63" s="1"/>
  <c r="B129" i="63" s="1"/>
  <c r="B130" i="63" s="1"/>
  <c r="B131" i="63" s="1"/>
  <c r="B132" i="63" s="1"/>
  <c r="B133" i="63" s="1"/>
  <c r="B134" i="63" s="1"/>
  <c r="B135" i="63" s="1"/>
  <c r="B136" i="63" s="1"/>
  <c r="B137" i="63" s="1"/>
  <c r="B138" i="63" s="1"/>
  <c r="B139" i="63" s="1"/>
  <c r="B140" i="63" s="1"/>
  <c r="B141" i="63" s="1"/>
  <c r="B142" i="63" s="1"/>
  <c r="B143" i="63" s="1"/>
  <c r="B144" i="63" s="1"/>
  <c r="B145" i="6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<sst xmlns="http://schemas.openxmlformats.org/spreadsheetml/2006/main" count="1986" uniqueCount="1124">
  <si>
    <t>Header1</t>
  </si>
  <si>
    <t>End of Sheet</t>
  </si>
  <si>
    <t>General Assumptions</t>
  </si>
  <si>
    <t>Timing</t>
  </si>
  <si>
    <t>Logo Redwoood</t>
  </si>
  <si>
    <t>Months per quarter</t>
  </si>
  <si>
    <t>months</t>
  </si>
  <si>
    <t>Months per year</t>
  </si>
  <si>
    <t>Days per month</t>
  </si>
  <si>
    <t>days</t>
  </si>
  <si>
    <t>Days per year</t>
  </si>
  <si>
    <t>Logo Santatera</t>
  </si>
  <si>
    <t>REF</t>
  </si>
  <si>
    <t>Nombre</t>
  </si>
  <si>
    <t>Empresa</t>
  </si>
  <si>
    <t>Industria</t>
  </si>
  <si>
    <t>Sub-Industria</t>
  </si>
  <si>
    <t>Municipio</t>
  </si>
  <si>
    <t>Nombre de Contacto</t>
  </si>
  <si>
    <t>Puesto</t>
  </si>
  <si>
    <t>Correo</t>
  </si>
  <si>
    <t xml:space="preserve">Telefono </t>
  </si>
  <si>
    <t>Dirección</t>
  </si>
  <si>
    <t>Contacto</t>
  </si>
  <si>
    <t>Status</t>
  </si>
  <si>
    <t>Metodo de Contacto</t>
  </si>
  <si>
    <t>Fecha de Primer Contacto</t>
  </si>
  <si>
    <t>Respuesta</t>
  </si>
  <si>
    <t>Descripción</t>
  </si>
  <si>
    <t>Abarroteras La Abeja</t>
  </si>
  <si>
    <t>Barrinolas</t>
  </si>
  <si>
    <t>Benmart AG</t>
  </si>
  <si>
    <t>Cajas Plegadizas de Occidente (Cartoimagen)</t>
  </si>
  <si>
    <t>Cintas y Especialidades Impresas S.A. de C.V.</t>
  </si>
  <si>
    <t>Corrugados de Occidente</t>
  </si>
  <si>
    <t>Dilox</t>
  </si>
  <si>
    <t>Distribuidora La Abundancia</t>
  </si>
  <si>
    <t>Valcon</t>
  </si>
  <si>
    <t>Embamar Packaging Technology</t>
  </si>
  <si>
    <t>Emypla</t>
  </si>
  <si>
    <t>Empropack Empaques Profesionales S.A. de C.V.</t>
  </si>
  <si>
    <t>En-Trega</t>
  </si>
  <si>
    <t>Flavors CGV Internacional S.A. de C.V.</t>
  </si>
  <si>
    <t>Grupo Prologiss</t>
  </si>
  <si>
    <t>Grupo Rago</t>
  </si>
  <si>
    <t>Grupo Soporte e Ingredientes Mexico (GSI Mexico)</t>
  </si>
  <si>
    <t>Grupo Textil Román</t>
  </si>
  <si>
    <t>Gummy Life</t>
  </si>
  <si>
    <t>Innobags</t>
  </si>
  <si>
    <t>Lacta Ingredientes</t>
  </si>
  <si>
    <t>Manufacturas Pueblo Viejo Industrial S.A. de C.V.</t>
  </si>
  <si>
    <t>Multiplastic</t>
  </si>
  <si>
    <t>Okko Superfoods</t>
  </si>
  <si>
    <t>Pepitoria Sinaloense</t>
  </si>
  <si>
    <t>Precision Metal Stamping (PM Stamping)</t>
  </si>
  <si>
    <t>Proanka Alimentos</t>
  </si>
  <si>
    <t>Prodeyma</t>
  </si>
  <si>
    <t>Productos Ávila</t>
  </si>
  <si>
    <t>Productos Don Elías</t>
  </si>
  <si>
    <t>SABROSAM</t>
  </si>
  <si>
    <t>ST Plastic</t>
  </si>
  <si>
    <t>Tecniplast Mexico</t>
  </si>
  <si>
    <t>Tecnometal</t>
  </si>
  <si>
    <t>Terminados Plásticos de Occidente (TEPOSA)</t>
  </si>
  <si>
    <t>Tornillos Especializados de Occidente</t>
  </si>
  <si>
    <t>Torninox</t>
  </si>
  <si>
    <t>Tostadas Tricas</t>
  </si>
  <si>
    <t>TotoFast</t>
  </si>
  <si>
    <t>Uniformes Carmen</t>
  </si>
  <si>
    <t>Borse Winsnes</t>
  </si>
  <si>
    <t>Distribución</t>
  </si>
  <si>
    <t>Mayoreo de abarrotes</t>
  </si>
  <si>
    <t>Guadalajara</t>
  </si>
  <si>
    <t>Manufactura</t>
  </si>
  <si>
    <t>Alimentos saludables y snacks</t>
  </si>
  <si>
    <t>Zapopan</t>
  </si>
  <si>
    <t>Superfoods e ingredientes alimenticios</t>
  </si>
  <si>
    <t>Tlaquepaque</t>
  </si>
  <si>
    <t>Empaque plegadizo</t>
  </si>
  <si>
    <t>Empaque de cartón corrugado</t>
  </si>
  <si>
    <t>Alimentos porcionados</t>
  </si>
  <si>
    <t>El Salto</t>
  </si>
  <si>
    <t>Fundición y maquinado</t>
  </si>
  <si>
    <t>Embalaje industrial</t>
  </si>
  <si>
    <t>Empaque plástico</t>
  </si>
  <si>
    <t>Tlajomulco</t>
  </si>
  <si>
    <t>Empaque y embalaje</t>
  </si>
  <si>
    <t>Logística</t>
  </si>
  <si>
    <t>Paquetería y mensajería</t>
  </si>
  <si>
    <t>Saborizantes y colorantes alimenticios</t>
  </si>
  <si>
    <t>Maquinaria para empaque</t>
  </si>
  <si>
    <t>Logística y almacenaje</t>
  </si>
  <si>
    <t>Infraestructura</t>
  </si>
  <si>
    <t>Ingredientes alimenticios</t>
  </si>
  <si>
    <t>Ingredientes y aditivos alimenticios</t>
  </si>
  <si>
    <t>Textil</t>
  </si>
  <si>
    <t>Confitería</t>
  </si>
  <si>
    <t>Empaque flexible</t>
  </si>
  <si>
    <t>Ingredientes lácteos</t>
  </si>
  <si>
    <t>Productos plásticos</t>
  </si>
  <si>
    <t>Superfoods e ingredientes funcionales</t>
  </si>
  <si>
    <t>Estampado metálico</t>
  </si>
  <si>
    <t>Alimentos</t>
  </si>
  <si>
    <t>Productos metálicos</t>
  </si>
  <si>
    <t>Ferretería y suministros industriales</t>
  </si>
  <si>
    <t>Bolsas</t>
  </si>
  <si>
    <t>Francisco Gomez</t>
  </si>
  <si>
    <t>Diego Reyes</t>
  </si>
  <si>
    <t>Oscar Benavides Reyes</t>
  </si>
  <si>
    <t>Edgar Martinez</t>
  </si>
  <si>
    <t>Fernando Maytorena Martinez</t>
  </si>
  <si>
    <t>Juan Briseño</t>
  </si>
  <si>
    <t>Daniel Robles</t>
  </si>
  <si>
    <t>Carlos Lopez Aguilar</t>
  </si>
  <si>
    <t>Eduardo González</t>
  </si>
  <si>
    <t>Karla Valeria Castellanos</t>
  </si>
  <si>
    <t>Luis Perez</t>
  </si>
  <si>
    <t>Jose Luis Boschetti</t>
  </si>
  <si>
    <t>David Hernández</t>
  </si>
  <si>
    <t>Alexis Larios</t>
  </si>
  <si>
    <t>Oscar Gilberto Alvídrez Tarango</t>
  </si>
  <si>
    <t>Fernando Acosta</t>
  </si>
  <si>
    <t>Andrés Salcedo</t>
  </si>
  <si>
    <t>Axel Orozco</t>
  </si>
  <si>
    <t>Jorge Mario Hallal Urrea</t>
  </si>
  <si>
    <t>Diego Morales</t>
  </si>
  <si>
    <t>Edmundo Aviña Barragan</t>
  </si>
  <si>
    <t>César Gómez</t>
  </si>
  <si>
    <t>Oscar Suarez</t>
  </si>
  <si>
    <t>Christian Winsnes</t>
  </si>
  <si>
    <t>Gerente en Abarrotes</t>
  </si>
  <si>
    <t>francisco.gomez@abarrotesabeja.com.mx</t>
  </si>
  <si>
    <t>Co-Fundador y Director Comercial</t>
  </si>
  <si>
    <t>diego@barrinolas.com</t>
  </si>
  <si>
    <t>CEO y Accionista</t>
  </si>
  <si>
    <t>obenavides@benmart.mx</t>
  </si>
  <si>
    <t>Propietario</t>
  </si>
  <si>
    <t>Director</t>
  </si>
  <si>
    <t>edgar.ivan.martinez@corrugadosdeoccidente.mx</t>
  </si>
  <si>
    <t>Director General</t>
  </si>
  <si>
    <t>planeacion@valcon.com.mx</t>
  </si>
  <si>
    <t>CEO</t>
  </si>
  <si>
    <t>dirdaroma@gmail.com</t>
  </si>
  <si>
    <t xml:space="preserve">Director </t>
  </si>
  <si>
    <t>clopez@emypla.com.mx</t>
  </si>
  <si>
    <t>Director General (Dueño)</t>
  </si>
  <si>
    <t>eduardo_gonzalez@en-trega.com</t>
  </si>
  <si>
    <t>Socio</t>
  </si>
  <si>
    <t>karla@packsystem.com.mx</t>
  </si>
  <si>
    <t>https://www.linkedin.com/in/grupo-prologiss-18689a350/</t>
  </si>
  <si>
    <t>jlboschetti@lacta.mx</t>
  </si>
  <si>
    <t>Fundador y Director General</t>
  </si>
  <si>
    <t>Director y Fundador</t>
  </si>
  <si>
    <t>oscar@okkosuperfoods.com</t>
  </si>
  <si>
    <t>CEO &amp; Founder</t>
  </si>
  <si>
    <t>https://www.linkedin.com/in/fernando-acosta-hern%C3%A1ndez-aba18883/</t>
  </si>
  <si>
    <t>Director / Socio</t>
  </si>
  <si>
    <t>https://www.linkedin.com/in/andr%C3%A9s-felipe-salcedo-ovalle-23130b305/</t>
  </si>
  <si>
    <t>diego@stplastic.com</t>
  </si>
  <si>
    <t>eab@tecnometal.com</t>
  </si>
  <si>
    <t>https://www.linkedin.com/in/ramon-mejia-991137104/</t>
  </si>
  <si>
    <t>Dueño</t>
  </si>
  <si>
    <t>cesargn@hotmail.com</t>
  </si>
  <si>
    <t>https://www.linkedin.com/in/oscar-su%C3%A1rez-171b42121/</t>
  </si>
  <si>
    <t>direccion@dilox.com.mx</t>
  </si>
  <si>
    <t>Pagina Web</t>
  </si>
  <si>
    <t>Linkedin</t>
  </si>
  <si>
    <t>Distribuye abarrotes y productos de consumo para comercios y mayoristas.</t>
  </si>
  <si>
    <t>Produce botanas y snacks tradicionales para el mercado nacional.</t>
  </si>
  <si>
    <t>Produce, comercializa y exporta superfoods, ingredientes naturales y alimentos saludables, además de ofrecer servicios de envasado y acondicionamiento para la industria alimentaria.</t>
  </si>
  <si>
    <t>Fabrica empaques de cartón plegadizo e impresión para productos de consumo.</t>
  </si>
  <si>
    <t>Produce etiquetas, cintas impresas y soluciones de identificación para empaque.</t>
  </si>
  <si>
    <t>Fabrica cajas y soluciones de empaque de cartón corrugado.</t>
  </si>
  <si>
    <t>Fabrica y envasa alimentos, condimentos, salsas e ingredientes en presentaciones porcionadas para las industrias de foodservice, hospitalidad y alimentos preparados</t>
  </si>
  <si>
    <t>Distribuye alimentos, abarrotes y productos de consumo al mayoreo.</t>
  </si>
  <si>
    <t>Fabrica y maquila piezas fundidas y maquinadas en hierro y acero para aplicaciones industriales.</t>
  </si>
  <si>
    <t>Diseña y fabrica maquinaria y soluciones tecnológicas para procesos de empaque.</t>
  </si>
  <si>
    <t>Fabrica películas plásticas y materiales para embalaje industrial.</t>
  </si>
  <si>
    <t>Comercializa soluciones de empaque industrial y materiales de embalaje.</t>
  </si>
  <si>
    <t>Ofrece servicios de logística, mensajería y distribución de mercancías.</t>
  </si>
  <si>
    <t>Desarrolla sabores e ingredientes para la industria de alimentos y bebidas.</t>
  </si>
  <si>
    <t>Integra maquinaria, equipos y materiales para líneas de empaque.</t>
  </si>
  <si>
    <t>Ofrece servicios de logística, almacenaje y distribución para empresas.</t>
  </si>
  <si>
    <t>Distribuidor y proveedor de equipos de bombeo y soluciones para el manejo de agua, con servicios de instalación, mantenimiento y reparación.</t>
  </si>
  <si>
    <t>Distribuye ingredientes y materias primas para la industria alimentaria.</t>
  </si>
  <si>
    <t>Fabrica uniformes, prendas industriales y textiles personalizados.</t>
  </si>
  <si>
    <t>Produce suplementos alimenticios en formato de gomitas funcionales.</t>
  </si>
  <si>
    <t>Desarrolla y fabrica bolsas y empaques flexibles personalizados.</t>
  </si>
  <si>
    <t>Distribuye ingredientes lácteos y materias primas para alimentos y bebidas.</t>
  </si>
  <si>
    <t>Fabrica componentes metálicos y productos para aplicaciones industriales.</t>
  </si>
  <si>
    <t>Fabrica productos plásticos y soluciones de transformación para la industria.</t>
  </si>
  <si>
    <t>Desarrolla alimentos saludables y productos funcionales.</t>
  </si>
  <si>
    <t>Produce botanas tradicionales elaboradas a base de semillas.</t>
  </si>
  <si>
    <t>Fabrica componentes metálicos mediante procesos de estampado de precisión.</t>
  </si>
  <si>
    <t>Fabrica alimentos procesados y productos listos para consumo.</t>
  </si>
  <si>
    <t>Brinda servicios de maquila, procesamiento y envasado de granos, cereales e ingredientes alimenticios para marcas propias y terceros</t>
  </si>
  <si>
    <t>Produce alimentos procesados y productos de consumo masivo.</t>
  </si>
  <si>
    <t>Elabora alimentos tradicionales y conservas para el mercado nacional.</t>
  </si>
  <si>
    <t>Produce salsas, condimentos y alimentos procesados.</t>
  </si>
  <si>
    <t>Fabrica piezas y componentes plásticos para aplicaciones industriales.</t>
  </si>
  <si>
    <t>Fabrica estructuras, componentes y soluciones metalmecánicas.</t>
  </si>
  <si>
    <t>Fabrica productos plásticos termoformados y soluciones de empaque.</t>
  </si>
  <si>
    <t>Distribuye tornillos, fijaciones y sistemas de sujeción para la industria.</t>
  </si>
  <si>
    <t>Distribuye tornillería y productos de acero inoxidable para aplicaciones industriales.</t>
  </si>
  <si>
    <t>Produce tostadas, botanas y alimentos derivados del maíz.</t>
  </si>
  <si>
    <t>Fabrica alimentos preparados y productos listos para consumo.</t>
  </si>
  <si>
    <t>Fabrica uniformes industriales, empresariales e institucionales.</t>
  </si>
  <si>
    <t>Fabrica bolsas personalizadas de papel, plástico y tela para aplicaciones comerciales, promocionales y de retail.</t>
  </si>
  <si>
    <t>https://www.abarrotesabeja.com/</t>
  </si>
  <si>
    <t>https://barrinolas.com/</t>
  </si>
  <si>
    <t>https://benmart.mx/</t>
  </si>
  <si>
    <t>https://cei-cei.com.mx/</t>
  </si>
  <si>
    <t>https://www.corrugadosdeoccidente.com/</t>
  </si>
  <si>
    <t>https://picalsa.dilox.com.mx/inicio</t>
  </si>
  <si>
    <t>https://www.labundancia.com/</t>
  </si>
  <si>
    <t>https://valcon.mx/</t>
  </si>
  <si>
    <t>https://www.embamar.com/</t>
  </si>
  <si>
    <t>https://www.emypla.com.mx</t>
  </si>
  <si>
    <t>https://empropack.com/</t>
  </si>
  <si>
    <t>https://www.en-trega.com/</t>
  </si>
  <si>
    <t>https://flavorscgv.com/</t>
  </si>
  <si>
    <t>https://packsystem.com.mx/</t>
  </si>
  <si>
    <t>https://grupoprologiss.com.mx/</t>
  </si>
  <si>
    <t>https://www.gruporago.com/</t>
  </si>
  <si>
    <t>http://gsi-ingredientes.com.mx/</t>
  </si>
  <si>
    <t>https://grupotextilroman.com/</t>
  </si>
  <si>
    <t>https://www.gummylife.mx</t>
  </si>
  <si>
    <t>https://innobags.com.mx/</t>
  </si>
  <si>
    <t>https://lacta.mx/</t>
  </si>
  <si>
    <t>https://www.multiplastic.com.mx/</t>
  </si>
  <si>
    <t>https://okkosuperfoods.com/</t>
  </si>
  <si>
    <t>https://www.pepitorias.com.mx/</t>
  </si>
  <si>
    <t>https://pmstamping.com/</t>
  </si>
  <si>
    <t>https://proankaalimentos.com/</t>
  </si>
  <si>
    <t>https://www.prodeyma.com/</t>
  </si>
  <si>
    <t>https://productosavila.com/</t>
  </si>
  <si>
    <t>https://productosdonelias.com/site/</t>
  </si>
  <si>
    <t>https://sabrosam.com/</t>
  </si>
  <si>
    <t>https://stplastic.mx/</t>
  </si>
  <si>
    <t>https://tecniplastmexico.com/web/</t>
  </si>
  <si>
    <t>http://tecnometal.org/es/index.html</t>
  </si>
  <si>
    <t>https://teposa.com/</t>
  </si>
  <si>
    <t>https://www.tornillosespecializados.com/</t>
  </si>
  <si>
    <t>https://www.torninox.com/</t>
  </si>
  <si>
    <t>https://tricas.com.mx/</t>
  </si>
  <si>
    <t>https://www.totofast.com/</t>
  </si>
  <si>
    <t>https://uniformescarmen.com.mx/</t>
  </si>
  <si>
    <t>No Contactado</t>
  </si>
  <si>
    <t>Etiquetas</t>
  </si>
  <si>
    <t>Maquinaria</t>
  </si>
  <si>
    <t>Botanas</t>
  </si>
  <si>
    <t>Check</t>
  </si>
  <si>
    <t>https://borse.com.mx/</t>
  </si>
  <si>
    <t>Alamo Aluminios</t>
  </si>
  <si>
    <t xml:space="preserve">Perisur Grupo Ferretero </t>
  </si>
  <si>
    <t>Roca Distribuciones</t>
  </si>
  <si>
    <t>Sigma Pegamentos</t>
  </si>
  <si>
    <t>Montenegro</t>
  </si>
  <si>
    <t>Viaggi Transportes</t>
  </si>
  <si>
    <t>Dimabsa</t>
  </si>
  <si>
    <t>Caslon</t>
  </si>
  <si>
    <t>Dicatex</t>
  </si>
  <si>
    <t>Auto Express 24 Horas</t>
  </si>
  <si>
    <t>Ulsa Tech</t>
  </si>
  <si>
    <t>Tuberias Visa de Guadalajara</t>
  </si>
  <si>
    <t>Fletes de Oriente</t>
  </si>
  <si>
    <t>Groppe Imprenta</t>
  </si>
  <si>
    <t>Perfiles de aluminio y acero</t>
  </si>
  <si>
    <t>Mayoreo de ferretería</t>
  </si>
  <si>
    <t>Mayoreo de artículos para el hogar</t>
  </si>
  <si>
    <t>Adhesivos industriales</t>
  </si>
  <si>
    <t xml:space="preserve">Edición de material educativo </t>
  </si>
  <si>
    <t>Paquetería y carga consolidada</t>
  </si>
  <si>
    <t>Mangueras y conexiones industriales</t>
  </si>
  <si>
    <t>Pinturas y recubrimientos</t>
  </si>
  <si>
    <t>Telas de tapicería</t>
  </si>
  <si>
    <t>Carga consolidada y paquetería</t>
  </si>
  <si>
    <t>Farmacéuticos oncológicos</t>
  </si>
  <si>
    <t>Tubería, válvulas y conexiones</t>
  </si>
  <si>
    <t>Transporte de carga terrestre</t>
  </si>
  <si>
    <t>Impresión digital de bajo volumen</t>
  </si>
  <si>
    <t>https://alamoaluminios.com/</t>
  </si>
  <si>
    <t>https://www.gfperisur.com.mx/</t>
  </si>
  <si>
    <t>https://sites.google.com/view/rocadistribucionesgdlcom/p%C3%A1gina-principal</t>
  </si>
  <si>
    <t>https://www.sigmapegamentos.com/</t>
  </si>
  <si>
    <t>https://montenegroeditores.com.mx/inicio/inicio</t>
  </si>
  <si>
    <t>https://www.viaggitransportes.com.mx/</t>
  </si>
  <si>
    <t>https://dimabsa.mx/</t>
  </si>
  <si>
    <t>https://www.caslon.com.mx/</t>
  </si>
  <si>
    <t>https://www.dicatex.mx/</t>
  </si>
  <si>
    <t>https://www.autoexpress24horas.com/</t>
  </si>
  <si>
    <t>https://ulsatech.com.mx/</t>
  </si>
  <si>
    <t>https://visaguadalajara.com/</t>
  </si>
  <si>
    <t>https://www.fletesdeoriente.com/</t>
  </si>
  <si>
    <t>https://groppeimprenta.com/</t>
  </si>
  <si>
    <t>N/A</t>
  </si>
  <si>
    <t>Tony Orozco</t>
  </si>
  <si>
    <t>Diego Ramírez</t>
  </si>
  <si>
    <t>José Peña</t>
  </si>
  <si>
    <t>Giovanni Gaggero</t>
  </si>
  <si>
    <t>Carsten Groppe</t>
  </si>
  <si>
    <t>Gerente General</t>
  </si>
  <si>
    <t>Owner</t>
  </si>
  <si>
    <t>Av. Obreros de Cananea 2312, Constitución, 45180 Zapopan, Jal.</t>
  </si>
  <si>
    <t>Calz. González Gallo #3208
Col. El Alamo C.P 45560
Tlaquepaque, Jalisco.</t>
  </si>
  <si>
    <t>Calz. Jesús González Gallo 3032, Mirador Alamo Industrial, 44895 Guadalajara, Jal.</t>
  </si>
  <si>
    <t>Calzada González Gallo 3049, C.P. 44890 Guadalajara, Jal.</t>
  </si>
  <si>
    <t>Río Conchos 1070, El Rosario, 44898 Guadalajara, Jal.</t>
  </si>
  <si>
    <t>Río Tototlán 1666, El Rosario, 44890 Guadalajara, Jal.</t>
  </si>
  <si>
    <t>dramirez@caslon.com.mx</t>
  </si>
  <si>
    <t>Calz, Jesús González Gallo #1575, Colonia Atlas, Guadalajara, Jalisco</t>
  </si>
  <si>
    <t>Av. Dr. Roberto Michel 2550, Alamo Industrial, 44895 Guadalajara, Jal.</t>
  </si>
  <si>
    <t>jpena@ulsatech.com.mx</t>
  </si>
  <si>
    <t>ggaggero@visaguadalajara.com</t>
  </si>
  <si>
    <t>https://www.linkedin.com/in/alfredo-g%C3%B3mez-8682407a/</t>
  </si>
  <si>
    <t>carsten@groppe.biz</t>
  </si>
  <si>
    <t>Distribuye perfiles de aluminio, acero y herrajes para construcción</t>
  </si>
  <si>
    <t>Comercializa artículos ferreteros al mayoreo para negocios y constructoras</t>
  </si>
  <si>
    <t>Importa y distribuye artículos para el hogar a mayoreo</t>
  </si>
  <si>
    <t>Fabrica y distribuye pegamentos especializados</t>
  </si>
  <si>
    <t>Crea, edita e imprime contenido educativo para maestros y alumnos</t>
  </si>
  <si>
    <t>Ofrece transportación y paquetería con cobertura en Occidente de México</t>
  </si>
  <si>
    <t>Distribuye mangueras, conexiones y conexiones industriales</t>
  </si>
  <si>
    <t>Fabrica y comercializa resinas y recubrimientos industriales</t>
  </si>
  <si>
    <t>Comercializa telas de tapicería para muebles y decoración</t>
  </si>
  <si>
    <t xml:space="preserve">Transporta carga consolidada y paquetería </t>
  </si>
  <si>
    <t>Fabrica y comercializa productos farmacéuticos de especialidad oncológica</t>
  </si>
  <si>
    <t>Suministra tubería, válvulas y conexiones en acero con asesoría técnica</t>
  </si>
  <si>
    <t>Transporta mercancía vía terrrestre con cobertura nacional</t>
  </si>
  <si>
    <t xml:space="preserve">Fabrica llibros y material impreso en bajo volumen </t>
  </si>
  <si>
    <t>Raziio</t>
  </si>
  <si>
    <t>JR Paquetería</t>
  </si>
  <si>
    <t>SuperRuedas</t>
  </si>
  <si>
    <t>Garanti Autoparts</t>
  </si>
  <si>
    <t>Grey Forestal</t>
  </si>
  <si>
    <t>Imprimatur Acabados</t>
  </si>
  <si>
    <t>Operadora Palermo</t>
  </si>
  <si>
    <t>Power Depot</t>
  </si>
  <si>
    <t>Tubin</t>
  </si>
  <si>
    <t>Surtimex</t>
  </si>
  <si>
    <t>Lubtrac</t>
  </si>
  <si>
    <t>Ipisa</t>
  </si>
  <si>
    <t>Siwa Uniformes</t>
  </si>
  <si>
    <t>BIme Seguridad Industrial</t>
  </si>
  <si>
    <t>Uniformes Paquirri</t>
  </si>
  <si>
    <t>Divisiones y Corrugadores</t>
  </si>
  <si>
    <t>Multiempack</t>
  </si>
  <si>
    <t>Exi</t>
  </si>
  <si>
    <t>Fase Industrial</t>
  </si>
  <si>
    <t>Rogmar</t>
  </si>
  <si>
    <t>Transportes Foráneos González</t>
  </si>
  <si>
    <t>Bolsas y Empaques Ceja</t>
  </si>
  <si>
    <t>Indpack</t>
  </si>
  <si>
    <t>Diseños de Cartón</t>
  </si>
  <si>
    <t>Maderas y Tarimas Madytar</t>
  </si>
  <si>
    <t>Proveedora Malber</t>
  </si>
  <si>
    <t>Boli Bolsas</t>
  </si>
  <si>
    <t>Plásticos San Isidro</t>
  </si>
  <si>
    <t>Silky Industrial</t>
  </si>
  <si>
    <t>Celofanfan</t>
  </si>
  <si>
    <t>Grupo Dulcero Tarahumara</t>
  </si>
  <si>
    <t>Industrial Valadez</t>
  </si>
  <si>
    <t>Botellas y Tapas Cristal</t>
  </si>
  <si>
    <t>Envases Val</t>
  </si>
  <si>
    <t>Plásticos Las Brisas</t>
  </si>
  <si>
    <t>TMC Hidráulicos</t>
  </si>
  <si>
    <t>Plásticos Santa Lucía</t>
  </si>
  <si>
    <t>Botellas Guadalajara</t>
  </si>
  <si>
    <t>Servitornillos SIMA</t>
  </si>
  <si>
    <t>Tornillos y Tuercas Medina</t>
  </si>
  <si>
    <t>Sistemas de drenaje pluvial e hidráulico</t>
  </si>
  <si>
    <t>Distribución de llantas y servicios para flotillas</t>
  </si>
  <si>
    <t>Autopartes</t>
  </si>
  <si>
    <t>Productos forestales y maderas</t>
  </si>
  <si>
    <t>Empaque e impresión</t>
  </si>
  <si>
    <t>Transporte de carga y logística</t>
  </si>
  <si>
    <t>Material eléctrico y soluciones de energía</t>
  </si>
  <si>
    <t>Tubería y conexiones plásticas</t>
  </si>
  <si>
    <t>Mayoreo de abarrotes y consumo</t>
  </si>
  <si>
    <t>Lubricantes industriales y automotrices</t>
  </si>
  <si>
    <t>Uniformes industriales</t>
  </si>
  <si>
    <t>Equipo de seguridad industrial</t>
  </si>
  <si>
    <t>Empaque industrial</t>
  </si>
  <si>
    <t>Hules y recubrimientos industriales</t>
  </si>
  <si>
    <t>Empaques flexibles y desechables</t>
  </si>
  <si>
    <t>Paneles y materiales de construcción</t>
  </si>
  <si>
    <t>Empaque de cartón</t>
  </si>
  <si>
    <t>Tarimas y embalaje de madera</t>
  </si>
  <si>
    <t>Suministros industriales</t>
  </si>
  <si>
    <t>Bolsas plásticas</t>
  </si>
  <si>
    <t>Productos de limpieza industrial</t>
  </si>
  <si>
    <t>Confitería y dulces</t>
  </si>
  <si>
    <t>Envases plásticos</t>
  </si>
  <si>
    <t>Envases y suministros industriales</t>
  </si>
  <si>
    <t>Hidráulica industrial</t>
  </si>
  <si>
    <t>Fijación industrial</t>
  </si>
  <si>
    <t>Distribuye e integra sistemas prefabricados de drenaje pluvial, captación de agua y soluciones hidráulicas para proyectos de infraestructura y construcción.</t>
  </si>
  <si>
    <t>Proporciona servicios de paquetería, mensajería y carga consolidada con cobertura en gran parte de México.</t>
  </si>
  <si>
    <t>Comercializa llantas, rines y servicios de mantenimiento para vehículos comerciales, transporte pesado y flotillas.</t>
  </si>
  <si>
    <t>Distribuye y comercializa refacciones automotrices para vehículos ligeros y de trabajo.</t>
  </si>
  <si>
    <t>Importa y distribuye maderas, tableros y productos forestales para la industria mueblera y de la construcción.</t>
  </si>
  <si>
    <t>Fabrica empaques de cartón plegadizo e impresos comerciales para diversas industrias.</t>
  </si>
  <si>
    <t>Proporciona servicios de transporte terrestre de carga, logística y distribución de mercancías.</t>
  </si>
  <si>
    <t>Distribuye material eléctrico, equipos de respaldo de energía, iluminación y soluciones para infraestructura eléctrica.</t>
  </si>
  <si>
    <t>Fabrica y comercializa sistemas de tubería y conexiones de PVC y CPVC para conducción de fluidos.</t>
  </si>
  <si>
    <t>Distribuye productos de abarrotes, alimentos y artículos de consumo para mayoristas y comercios.</t>
  </si>
  <si>
    <t>Distribuye lubricantes, grasas, filtros y productos especializados para la industria y el transporte.</t>
  </si>
  <si>
    <t>Distribuye pinturas, recubrimientos y productos complementarios para los sectores industrial y arquitectónico.</t>
  </si>
  <si>
    <t>Diseña, fabrica y comercializa uniformes corporativos, industriales y de seguridad.</t>
  </si>
  <si>
    <t>Distribuye equipo de protección personal (EPP), señalización y productos para seguridad industrial.</t>
  </si>
  <si>
    <t>Confecciona y comercializa uniformes empresariales, escolares e industriales.</t>
  </si>
  <si>
    <t>Fabrica divisiones, separadores y empaques de cartón corrugado para la protección y transporte de productos.</t>
  </si>
  <si>
    <t>Fabrica cajas, empaques y soluciones de cartón corrugado para la industria.</t>
  </si>
  <si>
    <t>Distribuye materiales y suministros de empaque para clientes industriales y comerciales.</t>
  </si>
  <si>
    <t>Fabrica piezas de hule, recubrimientos y componentes para aplicaciones industriales.</t>
  </si>
  <si>
    <t>Distribuye productos de abarrotes y consumo para comercios y clientes mayoristas.</t>
  </si>
  <si>
    <t>Proporciona servicios de transporte foráneo de carga y logística nacional.</t>
  </si>
  <si>
    <t>Distribuye bolsas, empaques y artículos desechables para la industria y el comercio.</t>
  </si>
  <si>
    <t>Comercializa panel aislante y materiales para construcción industrial y comercial.</t>
  </si>
  <si>
    <t>Fabrica soluciones de empaque industrial y materiales de protección para productos.</t>
  </si>
  <si>
    <t>Fabrica empaques, exhibidores y productos de cartón personalizados.</t>
  </si>
  <si>
    <t>Fabrica tarimas, embalajes y productos de madera para logística e industria.</t>
  </si>
  <si>
    <t>Distribuye insumos, materiales y productos para clientes industriales y comerciales.</t>
  </si>
  <si>
    <t>Fabrica bolsas de plástico y soluciones de empaque flexible para uso comercial e industrial.</t>
  </si>
  <si>
    <t>Fabrica envases, piezas y productos plásticos para aplicaciones industriales y comerciales.</t>
  </si>
  <si>
    <t>Fabrica y comercializa productos químicos para limpieza y mantenimiento industrial.</t>
  </si>
  <si>
    <t>Fabrica películas de celofán, polipropileno y empaques flexibles para la industria.</t>
  </si>
  <si>
    <t>Distribuye dulces, botanas y productos de confitería para el canal mayorista.</t>
  </si>
  <si>
    <t>Fabrica componentes y productos metálicos para aplicaciones industriales.</t>
  </si>
  <si>
    <t>Distribuye botellas, tapas y envases para las industrias alimenticia, farmacéutica y química.</t>
  </si>
  <si>
    <t>Comercializa envases, empaques e insumos para la industria y el comercio.</t>
  </si>
  <si>
    <t>Fabrica envases y recipientes plásticos para diversas industrias.</t>
  </si>
  <si>
    <t>Fabrica artículos y componentes plásticos para aplicaciones industriales y comerciales.</t>
  </si>
  <si>
    <t>Distribuye mangueras, conexiones y componentes para sistemas hidráulicos.</t>
  </si>
  <si>
    <t>Fabrica envases y productos plásticos para aplicaciones industriales y de consumo.</t>
  </si>
  <si>
    <t>Distribuye botellas, envases y accesorios para las industrias alimenticia, cosmética y química.</t>
  </si>
  <si>
    <t>Distribuye tornillos, tuercas, birlos y sistemas de fijación para la industria y la construcción.</t>
  </si>
  <si>
    <t>Comercializa tornillos, tuercas y productos de fijación para clientes industriales y ferreteros.</t>
  </si>
  <si>
    <t>Luis Anchondo</t>
  </si>
  <si>
    <t>Iván Venzor Carvajal</t>
  </si>
  <si>
    <t>Miguel Reynoso Becerra</t>
  </si>
  <si>
    <t>Salvador Rodarte Salcedo</t>
  </si>
  <si>
    <t>Américo Salinas Leal</t>
  </si>
  <si>
    <t>María Ceballos Becerra</t>
  </si>
  <si>
    <t>Gome Gomez</t>
  </si>
  <si>
    <t>Ulpiano Flores</t>
  </si>
  <si>
    <t>Director General Adjunto</t>
  </si>
  <si>
    <t>Directora de Operaciones</t>
  </si>
  <si>
    <t>lanchondo@raziio.com</t>
  </si>
  <si>
    <t>https://www.linkedin.com/in/ramon-torres-lopez-bb978385/</t>
  </si>
  <si>
    <t>https://www.linkedin.com/in/valent%C3%ADn-gonzalez-cosio-elcoro-64626b118/</t>
  </si>
  <si>
    <t>https://www.linkedin.com/in/ivan-oswaldo-venzor-carbajal-164774122/</t>
  </si>
  <si>
    <t>https://www.linkedin.com/in/miguel-reynoso-becerra-089100252/</t>
  </si>
  <si>
    <t>https://www.linkedin.com/in/karina-jetzabel-g%C3%B3mez-delgadillo-93715a140/?skipRedirect=true</t>
  </si>
  <si>
    <t>salvador.rodarte@corporativopalermo.com.mx</t>
  </si>
  <si>
    <t>asalinas@powerdepot.mx</t>
  </si>
  <si>
    <t>33 3200 8513</t>
  </si>
  <si>
    <t>gome_gomez@grupotracsa.mx</t>
  </si>
  <si>
    <t>ulpiano.flores@ipisamexico.com</t>
  </si>
  <si>
    <t>CALLE LAZARO CARDENAS 1800 DEL FRESNO 2A. SECCION, GUADALAJARA, JALISCO 44900</t>
  </si>
  <si>
    <t>Lázaro Cárdenas 450, Agua Blanca Industrial, 45235 Guadalajara, Jal.</t>
  </si>
  <si>
    <t>av. eje las torres 2433 la palmira, zapopan, jalisco 45234</t>
  </si>
  <si>
    <t>CAYENA, 2600, PROVIDENCIA 3A SECCION, GUADALAJARA, JAL, C.P. 44630</t>
  </si>
  <si>
    <t>Calle López Cotilla, 73, Atemajac Del Valle, Zapopan, Jal. C.P. 45190</t>
  </si>
  <si>
    <t>https://raziio.com/</t>
  </si>
  <si>
    <t>https://jrpaqueteria.mx/</t>
  </si>
  <si>
    <t>https://www.superruedas.com.mx/index.php</t>
  </si>
  <si>
    <t>https://www.garantiautoparts.com/ecommerce/</t>
  </si>
  <si>
    <t>https://greyforestal.com/</t>
  </si>
  <si>
    <t>https://imprimatur.com.mx/</t>
  </si>
  <si>
    <t>https://operadorapalermo.com.mx/</t>
  </si>
  <si>
    <t>https://powerdepot.com.mx/</t>
  </si>
  <si>
    <t>https://www.tubin.com.mx/</t>
  </si>
  <si>
    <t>https://www.surtimex.com/</t>
  </si>
  <si>
    <t>https://www.lubtrac.com.mx/</t>
  </si>
  <si>
    <t>https://ipisa.miadn.mx/</t>
  </si>
  <si>
    <t>https://www.siwauniformes.com.mx/</t>
  </si>
  <si>
    <t>https://www.bimeseguridadindustrial.com/</t>
  </si>
  <si>
    <t>https://www.uniformespaquirri.com.mx/</t>
  </si>
  <si>
    <t>https://www.divisionesycorrugados.com.mx/</t>
  </si>
  <si>
    <t>https://www.cartonmemultiempack.com/</t>
  </si>
  <si>
    <t>https://www.exiguadalajara.com/</t>
  </si>
  <si>
    <t>https://www.hulesdeingenieriayrecubrimientos.com/</t>
  </si>
  <si>
    <t>https://www.rogmarmenudeo.com/</t>
  </si>
  <si>
    <t>https://www.transportesforaneosgonzalez.com/</t>
  </si>
  <si>
    <t>https://www.bolsasyempaquesceja.com/</t>
  </si>
  <si>
    <t>https://indpack-jalisco.miadn.mx/</t>
  </si>
  <si>
    <t>https://disenosdecarton.miadn.mx/</t>
  </si>
  <si>
    <t>https://maderasytarimasmadytar.miadn.mx/</t>
  </si>
  <si>
    <t>https://www.proveedoramalber.com/</t>
  </si>
  <si>
    <t>https://www.boli-bolsas.com/</t>
  </si>
  <si>
    <t>https://www.plasticossanisidro.com.mx/</t>
  </si>
  <si>
    <t>https://www.silkyindustrial.com.mx/</t>
  </si>
  <si>
    <t>https://www.celofanfan.com.mx/</t>
  </si>
  <si>
    <t>https://grupodulcerotarahumara.miadn.mx/</t>
  </si>
  <si>
    <t>https://www.industrialvaladezsadecv.com/</t>
  </si>
  <si>
    <t>https://www.botellasytapascristal.com.mx/</t>
  </si>
  <si>
    <t>https://www.comercializadorareyso.com/</t>
  </si>
  <si>
    <t>https://www.envasesval.mx/</t>
  </si>
  <si>
    <t>https://www.plasticoslasbrisas.com.mx/</t>
  </si>
  <si>
    <t>https://www.tmchidraulicos.com/</t>
  </si>
  <si>
    <t>https://www.plasticos-santa-lucia.com/</t>
  </si>
  <si>
    <t>https://www.botellasguadalajara.com.mx/</t>
  </si>
  <si>
    <t>https://www.ventadetornillosytuercasgdl.com/</t>
  </si>
  <si>
    <t>https://www.tornillosytuercasmedina.com/</t>
  </si>
  <si>
    <t>33 3684 9934</t>
  </si>
  <si>
    <t>Cam Antiguo, Av. Camino Real a Colima 2990, 45645 Santa Anita, Jal.</t>
  </si>
  <si>
    <t>El Rey Del Tornillo Guadalajara</t>
  </si>
  <si>
    <t>Componentes Electrónicos de Occidente SA de CV</t>
  </si>
  <si>
    <t>Fabrica de Hielo en Guadalajara Club Ice</t>
  </si>
  <si>
    <t>Copiroyal Printcenter</t>
  </si>
  <si>
    <t>Prakticaja</t>
  </si>
  <si>
    <t>VEEN</t>
  </si>
  <si>
    <t>KO Solar</t>
  </si>
  <si>
    <t>Naturex</t>
  </si>
  <si>
    <t>CEPAMOSA S.A. de C.V.</t>
  </si>
  <si>
    <t>REFA 100</t>
  </si>
  <si>
    <t>Refaccionaria Mario García S.A. de C.V.</t>
  </si>
  <si>
    <t>Alfa uniformes</t>
  </si>
  <si>
    <t>Piruche Vasos de Papel</t>
  </si>
  <si>
    <t>ACERO SUECO PALME</t>
  </si>
  <si>
    <t>DIMEO Apparel Group</t>
  </si>
  <si>
    <t>Polímeros Tapatios</t>
  </si>
  <si>
    <t>Poliflex sa de cv</t>
  </si>
  <si>
    <t>Ferman</t>
  </si>
  <si>
    <t>Somoldi</t>
  </si>
  <si>
    <t>Aceros Coyote S.A. de C.V.</t>
  </si>
  <si>
    <t xml:space="preserve">NOROACEROS S.A. de C.V. </t>
  </si>
  <si>
    <t>Gobi | Productos y Artículos de Limpieza</t>
  </si>
  <si>
    <t>Alimentos Naturales Finos S.A. de C.V.</t>
  </si>
  <si>
    <t>Merka-trucks</t>
  </si>
  <si>
    <t>SITMA</t>
  </si>
  <si>
    <t>Corporativo Mohema SA de CV</t>
  </si>
  <si>
    <t>Tornillería, fijación y herramientas</t>
  </si>
  <si>
    <t>Identificación, marcado y etiquetado</t>
  </si>
  <si>
    <t>Fabricación y distribución de hielo</t>
  </si>
  <si>
    <t>Copiadoras, consumibles y refacciones</t>
  </si>
  <si>
    <t>Cajas y empaques de cartón</t>
  </si>
  <si>
    <t>Agua alcalina y embotellada</t>
  </si>
  <si>
    <t>Sistemas fotovoltaicos y Energía</t>
  </si>
  <si>
    <t>Suplementos alimenticios</t>
  </si>
  <si>
    <t>Montacargas, renta, venta y mantenimiento</t>
  </si>
  <si>
    <t>Refacciones automotrices online</t>
  </si>
  <si>
    <t>Uniformes empresariales</t>
  </si>
  <si>
    <t>Desechables y Vasos de papel</t>
  </si>
  <si>
    <t>Aceros especiales y panel aluminio compuesto</t>
  </si>
  <si>
    <t>Textil y Apparel</t>
  </si>
  <si>
    <t>Plasticos y empaques</t>
  </si>
  <si>
    <t>Poliducto corrugado y accesorios eléctricos</t>
  </si>
  <si>
    <t>Fertilizantes y nutrición vegetal</t>
  </si>
  <si>
    <t>Guadalajara / Mexico</t>
  </si>
  <si>
    <t>Moldes e inyección de plástico</t>
  </si>
  <si>
    <t>Aceros y metales especiales</t>
  </si>
  <si>
    <t>Acero / Industrial</t>
  </si>
  <si>
    <t>Artículos e insumos de limpieza</t>
  </si>
  <si>
    <t>Alimentos y bebidas</t>
  </si>
  <si>
    <t>Autopartes / Distribución</t>
  </si>
  <si>
    <t>Alcantarillas de plástico reciclado</t>
  </si>
  <si>
    <t>Ingredientes / Químicos</t>
  </si>
  <si>
    <t>https://elreydeltornillo.com/</t>
  </si>
  <si>
    <t>https://ceo-mex.com/</t>
  </si>
  <si>
    <t>https://www.clubice.mx/</t>
  </si>
  <si>
    <t>https://copiroyalcapital.com/</t>
  </si>
  <si>
    <t>https://prakticaja.wixsite.com/website</t>
  </si>
  <si>
    <t>https://veen.com.mx/</t>
  </si>
  <si>
    <t>https://kosolar.mx/</t>
  </si>
  <si>
    <t>https://www.naturex.com.mx/</t>
  </si>
  <si>
    <t>http://www.cepamosa.com</t>
  </si>
  <si>
    <t>https://refa100.com/</t>
  </si>
  <si>
    <t>http://www.refmariogarcia.com</t>
  </si>
  <si>
    <t>https://alfauniformes.com/</t>
  </si>
  <si>
    <t>https://pituche.com/?utm_source=google&amp;utm_medium=cpc&amp;utm_campaign=INPD-MAXPER&amp;utm_content=General-2&amp;gad_source=1&amp;gad_campaignid=21493642458&amp;gbraid=0AAAAADExx4S_1JJQ3bP9gp_BgAd5TsAEU&amp;gclid=CjwKCAjwpK3SBhASEiwAtV1SPNW-XrmBhVW4CDWlFBTsE2R7ExJb1MgzkqjH7or7icFuK5LcJU1miRoCnCkQAvD_BwE</t>
  </si>
  <si>
    <t>https://ccagrupo.com/projects/acero-sueco-palme/</t>
  </si>
  <si>
    <t>https://dimeo.mx/</t>
  </si>
  <si>
    <t>https://polimerostapatios.com/</t>
  </si>
  <si>
    <t>https://poliflex.com.mx/</t>
  </si>
  <si>
    <t>https://www.ferman.mx/</t>
  </si>
  <si>
    <t>https://www.somoldi.com/</t>
  </si>
  <si>
    <t>https://aceroscoyote.com/</t>
  </si>
  <si>
    <t>https://www.noroaceros.com/</t>
  </si>
  <si>
    <t>https://www.gobi.com.mx/</t>
  </si>
  <si>
    <t>http://alina.com.mx/</t>
  </si>
  <si>
    <t>https://merka-trucks.com.mx/</t>
  </si>
  <si>
    <t>https://sitma.com.mx/</t>
  </si>
  <si>
    <t>https://www.cosmos.com.mx/empresa/corporativo-mohema-gsrp.html</t>
  </si>
  <si>
    <t>Luis Miguel Rubio</t>
  </si>
  <si>
    <t>Carlos Saucedo</t>
  </si>
  <si>
    <t>Ana Sofía Ortiz Maldonado</t>
  </si>
  <si>
    <t>Jose Manuel Lopez</t>
  </si>
  <si>
    <t>Mario Ramiro Garcia</t>
  </si>
  <si>
    <t>Javier Ochoa Palme</t>
  </si>
  <si>
    <t>Fernando Villalever</t>
  </si>
  <si>
    <t>Alejandro González</t>
  </si>
  <si>
    <t>Jose Fernando Velez</t>
  </si>
  <si>
    <t xml:space="preserve">Juan Francisco Maqueda </t>
  </si>
  <si>
    <t>Miguel Montes Cerrillos</t>
  </si>
  <si>
    <t>Director general / CFO</t>
  </si>
  <si>
    <t>Director Comercial</t>
  </si>
  <si>
    <t xml:space="preserve">Directora   </t>
  </si>
  <si>
    <t>Posible hijo del dueño</t>
  </si>
  <si>
    <t>Coordinador general</t>
  </si>
  <si>
    <t>Gerente general</t>
  </si>
  <si>
    <t>Uniformes Lazzar Guadalajara México</t>
  </si>
  <si>
    <t>Almet Indsutrial</t>
  </si>
  <si>
    <t>Suelas Italia</t>
  </si>
  <si>
    <t>Mederilab</t>
  </si>
  <si>
    <t>LiderPlast (Soluciones en Envases Plásticos PET)</t>
  </si>
  <si>
    <t xml:space="preserve">Standar Manufactura de Productos S.A. de C.V. </t>
  </si>
  <si>
    <t>lrubio@elreydeltornillo.com</t>
  </si>
  <si>
    <t>carlos@ceo-mex.com</t>
  </si>
  <si>
    <t>33 3632 4959</t>
  </si>
  <si>
    <t>33 3666 1914</t>
  </si>
  <si>
    <t>Calz. Lázaro Cárdenas 2920, Alamo Industrial, San Pedro Tlaquepaque, Jal.</t>
  </si>
  <si>
    <t>Oleoducto 2885 C, Alamo Industrial, 45593 San Pedro Tlaquepaque, Jal.</t>
  </si>
  <si>
    <t>sofi.ortizmaldonado@gmail.com</t>
  </si>
  <si>
    <t>manuel@cepamosa.com</t>
  </si>
  <si>
    <t>33 1944 6259</t>
  </si>
  <si>
    <t>https://www.linkedin.com/in/mario-ramiro-garcia-24827571/</t>
  </si>
  <si>
    <t>https://www.linkedin.com/in/javier-ochoa-palme-76b317348/</t>
  </si>
  <si>
    <t>dimeo@dimeo-casual.com.mx</t>
  </si>
  <si>
    <t>33 3812 0728</t>
  </si>
  <si>
    <t>a.g.e.poliflex@gmail.com</t>
  </si>
  <si>
    <t>jose.velez@ferman.mx</t>
  </si>
  <si>
    <t>33 3666 3335</t>
  </si>
  <si>
    <t>33 3666 2732</t>
  </si>
  <si>
    <t>33 3666 2706</t>
  </si>
  <si>
    <t>33 3614 4673</t>
  </si>
  <si>
    <t>juanfran.maqueda@gmail.com</t>
  </si>
  <si>
    <t>33 1297 1949</t>
  </si>
  <si>
    <t>https://www.linkedin.com/in/miguel-montes-cerrillos-659407311/</t>
  </si>
  <si>
    <t>Mayorista de tornillería y herramientas de fijación que fue  fundada en 1997 y actualmente tiene 9 sucursales.</t>
  </si>
  <si>
    <t>Soluciones de identificación, marcado y etiquetado de productos que fue fundada en 2006.</t>
  </si>
  <si>
    <t>Empresa familiar con mas de 30 años en fabricación y distribución de hielo en Occidente.</t>
  </si>
  <si>
    <t>Venta de equipos Ricoh/Canon, tóner, refacciones y reparación de copiadoras</t>
  </si>
  <si>
    <t>Fabricación y comercialización de cajas y empaques de cartón corrugado.</t>
  </si>
  <si>
    <t>Marca de agua alcalina y venta de productos de hidratación.</t>
  </si>
  <si>
    <t>Venta e instalación de paneles solares para hogares y negocios.</t>
  </si>
  <si>
    <t>Desarrollo, fabricación y comercialización de suplementos; pertenece a grupo Maver.</t>
  </si>
  <si>
    <t>Distribuidor de Clark. Venta, renta, refacciones y servicio de montacargas que fue fundada en 1988.</t>
  </si>
  <si>
    <t>Refaccionaria online de productos para seguridad y protección del vehículo</t>
  </si>
  <si>
    <t>Refaccionaria de productos para motor automotriz</t>
  </si>
  <si>
    <t>Manufactura y distribución de uniformes para el trabajo o empresariales</t>
  </si>
  <si>
    <t>Desechables biodegradables, vasos y productos para alimentos</t>
  </si>
  <si>
    <t>Comercialización de aceros especiales; fundada por René y Ramón Palme Bhen en 1960.</t>
  </si>
  <si>
    <t>Distribución, fabricación, comercialización de prendas con +35 años de experiencia</t>
  </si>
  <si>
    <t>Fabricación y comercialización de envases y tapas plásticas; inyección y soplado.</t>
  </si>
  <si>
    <t>Diseña, fabrica y distribuye tuberías corrugadas y accesorios no metálicos para instalaciones eléctricas</t>
  </si>
  <si>
    <t>Empresa fundada en 1992 en Guadalajara; comercializa fertilizantes sólidos, solubles, foliares y mejoradores de suelo.</t>
  </si>
  <si>
    <t>Empresa mexicana con +30 años en diseño/fabricación de moldes e inyección de plástico para automotriz, alimentos, farma, electrónica y consumo</t>
  </si>
  <si>
    <t>Comercialización y procesamiento de aceros/metales especiales; ubicada en Álamo Industrial.</t>
  </si>
  <si>
    <t>Distribución, servicio y fabricación de perfiles especiales</t>
  </si>
  <si>
    <t>Distribuidora de artículos de limpieza institucional; maneja marcas como Elite, Kimberly-Clark, Jofel, Gojo y Rubbermaid</t>
  </si>
  <si>
    <t>Empresa mexicana enfocada en desarrollar e introducir productos naturales al mercado</t>
  </si>
  <si>
    <t>Comercialización de accesorios, refacciones y tractopartes para transporte de carga</t>
  </si>
  <si>
    <t>Sitma de Mesoamérica; productos industriales de plástico reciclado para infraestructura</t>
  </si>
  <si>
    <t>Comercialización de vitaminas, aminoácidos, excipientes, sales y materias primas especializadas</t>
  </si>
  <si>
    <t>Uniformes industriales y corporativos</t>
  </si>
  <si>
    <t>Plásticos</t>
  </si>
  <si>
    <t>https://www.lazzarmexico.com/contacto/uniformes-guadalajara-jalisco/?utm_source=GMB&amp;utm_medium=profile&amp;utm_campaign=local_search</t>
  </si>
  <si>
    <t>https://www.almetindustrial.com/</t>
  </si>
  <si>
    <t>https://suelas-italia.com/</t>
  </si>
  <si>
    <t>https://www.mederilab.com/</t>
  </si>
  <si>
    <t>https://liderplast.com/</t>
  </si>
  <si>
    <t>https://www.hotfrog.com.mx/company/1123369700560896</t>
  </si>
  <si>
    <t>Rosamaría Lázaro Ordaz</t>
  </si>
  <si>
    <t xml:space="preserve">CEO </t>
  </si>
  <si>
    <t>rlazaro@lazzarmexico.com</t>
  </si>
  <si>
    <t>https://www.linkedin.com/in/rosamarialazaro/?locale=en</t>
  </si>
  <si>
    <t>Mar Egeo 1514, Country Club, 44610 Guadalajara, Jal.</t>
  </si>
  <si>
    <t>Fabricante mexicano de uniformes industriales, corporativos, ejecutivos, médicos y de seguridad. Cuenta con planta propia y distribución nacional</t>
  </si>
  <si>
    <t>Av. del Mercado 1602, Comercial Abastos, 44460 Guadalajara, Jal.</t>
  </si>
  <si>
    <t>Gabriel Obregon</t>
  </si>
  <si>
    <t>https://www.linkedin.com/company/abarrotesabeja/?trk=ppro_cprof</t>
  </si>
  <si>
    <t xml:space="preserve"> direccion@liderplast.com</t>
  </si>
  <si>
    <t>Grupo Pack System</t>
  </si>
  <si>
    <t>C. Leona Vicario 2422, Santa Ana Tepetitlán, 45230 Zapopan, Jal.</t>
  </si>
  <si>
    <t>linkedin.com/in/diego-reyes-bnls</t>
  </si>
  <si>
    <t>Empresa especializada en fabricación de piezas metálicas de precisión, maquinados CNC, soldadura y ensambles industriales</t>
  </si>
  <si>
    <t>Maquinados CNC y fabricación metálica</t>
  </si>
  <si>
    <t>Metalurgia 2710, Col. Alamo Industrial</t>
  </si>
  <si>
    <t>33 3666 2163</t>
  </si>
  <si>
    <t>Calzado</t>
  </si>
  <si>
    <t>Fabricación de suelas para calzado</t>
  </si>
  <si>
    <t xml:space="preserve">Juan R. Zavala Jiménez </t>
  </si>
  <si>
    <t>Av. Empresarios 255, Puerta de Hierro, 45116 Zapopan, Jal.</t>
  </si>
  <si>
    <t>suelas@suelas-italia.com</t>
  </si>
  <si>
    <t>Juan R. Zavala #419</t>
  </si>
  <si>
    <t>linkedin.com/in/oscar-benavides-reyes-760593196?skipRedirect=true&amp;miniProfileUrn=urn%3Ali%3Afs_miniProfile%3AACoAAC4BDXgBOzRKqKPmV6p8NyTnw5WIkZIvijc</t>
  </si>
  <si>
    <t>Dispositivos médicos</t>
  </si>
  <si>
    <t>https://cartoimagen.com.mx/</t>
  </si>
  <si>
    <t>Empresa dedicada al desarrollo y fabricación de material médico y productos para hospitales y distribuidores</t>
  </si>
  <si>
    <t>45602 Tlaquepaque, Jalisco</t>
  </si>
  <si>
    <t>victordelabrego@cartoimagen.com.mx</t>
  </si>
  <si>
    <t>Victor del Abrego</t>
  </si>
  <si>
    <t>https://www.linkedin.com/in/victor-del-abrego-9386a126/</t>
  </si>
  <si>
    <t>Fabricación de envases PET para alimentos, bebidas, químicos y productos de consumo</t>
  </si>
  <si>
    <t>Productos industriales</t>
  </si>
  <si>
    <t>33 3670 0470</t>
  </si>
  <si>
    <t>Empresa manufacturera enfocada en la fabricación de productos industriales para clientes B2B</t>
  </si>
  <si>
    <t>https://www.linkedin.com/in/jesus-manuel-ram%C3%ADrez-b2667556/</t>
  </si>
  <si>
    <t>Jésus Ramírez</t>
  </si>
  <si>
    <t>Av. Juan Gil Preciado 9200-2, Estrada, 45200 Zapopan, Jal.</t>
  </si>
  <si>
    <t>Del Hortelano 47, Artesanos, 45598 San Pedro Tlaquepaque, Jal.</t>
  </si>
  <si>
    <t>https://mx.linkedin.com/in/edgar-martinez-742384288</t>
  </si>
  <si>
    <t>Av. del Acero Nave 9-A, Parque Industrial Cimeg - Canagraf, 45689 El Salto, Jal.</t>
  </si>
  <si>
    <t>https://mx.linkedin.com/in/fernando-maytorena-martinez-n-255226152</t>
  </si>
  <si>
    <t>C. Fresno #1806, Del Fresno, 44900 Guadalajara, Jal.</t>
  </si>
  <si>
    <t>Isla Malta 2631, Jardines del Sur, 44950 Guadalajara, Jal.</t>
  </si>
  <si>
    <t>33 3646 1798</t>
  </si>
  <si>
    <t>Calle Juan Manuel 473, Zona Centro, 44100 Guadalajara, Jalisco</t>
  </si>
  <si>
    <t>33 3614 9030</t>
  </si>
  <si>
    <t>Emilio Huber</t>
  </si>
  <si>
    <t>emiliohuber@hotmail.com</t>
  </si>
  <si>
    <t>https://panelw.com/</t>
  </si>
  <si>
    <t>Av. Chicalote 2488, Comercial Abastos, 44530 Guadalajara, Jal.</t>
  </si>
  <si>
    <t>Panel W</t>
  </si>
  <si>
    <t>Interés</t>
  </si>
  <si>
    <t>Sin Respuesta</t>
  </si>
  <si>
    <t>33 3693 4770</t>
  </si>
  <si>
    <t>33 1028 3676</t>
  </si>
  <si>
    <t>33 3670 2867</t>
  </si>
  <si>
    <t>33 3648 5600</t>
  </si>
  <si>
    <t>33 1256 1290</t>
  </si>
  <si>
    <t>33 3798 0936</t>
  </si>
  <si>
    <t>33 3666 0045</t>
  </si>
  <si>
    <t>33 3835 0163</t>
  </si>
  <si>
    <t>33 1333 0785</t>
  </si>
  <si>
    <t>33 2362 1622</t>
  </si>
  <si>
    <t>33 2386 3005</t>
  </si>
  <si>
    <t>33 1373 0120</t>
  </si>
  <si>
    <t>33 1201 9707</t>
  </si>
  <si>
    <t>33 3666 2708</t>
  </si>
  <si>
    <t>33 3608 4555</t>
  </si>
  <si>
    <t>33 3627 4836</t>
  </si>
  <si>
    <t>Barroteran 3155, Alamo Industrial, 44490 San Pedro Tlaquepaque, Jalisco, México</t>
  </si>
  <si>
    <t>https://www.linkedin.com/in/juan-brise%C3%B1o-29018336/</t>
  </si>
  <si>
    <t>Calle 14 # 2775, Zona Industrial CP 44940, Guadalajara, Jal. México</t>
  </si>
  <si>
    <t>https://www.linkedin.com/in/dirdaroma/</t>
  </si>
  <si>
    <t>Camino a Buenavista No.201 Predio el Huaje. C.P. 45640 Tlajomulco de Zuñiga, Jalisco, México.</t>
  </si>
  <si>
    <t>mx.linkedin.com/in/carlos-raul-lopez-aguilar-391830134</t>
  </si>
  <si>
    <t>33 3743 0377</t>
  </si>
  <si>
    <t>Av. San Blas 2165, Villa Fontana, 45618 San Pedro Tlaquepaque, Jal.</t>
  </si>
  <si>
    <t>https://www.linkedin.com/in/empropack-empaques-profesional-b114a2112/</t>
  </si>
  <si>
    <t>Av. Adolf Bernard Horn Junior 700, Fraccionamiento Real del Valle 45654, Tlajomulco de Zúñiga, Jalisco</t>
  </si>
  <si>
    <t>https://www.linkedin.com/in/eduardo-gonz%C3%A1lez-kennedy-4513a973</t>
  </si>
  <si>
    <t>https://www.linkedin.com/in/victor-hugo-alarcon-olivas-a1945a6a/</t>
  </si>
  <si>
    <t>Río Purificación 1294, El Vergelito, 45595 San Pedro Tlaquepaque, Jal.</t>
  </si>
  <si>
    <t> Lauro Badillo Díaz 513, Las Juntas, 45593 San Pedro Tlaquepaque, Jal.</t>
  </si>
  <si>
    <t>24 de Diciembre 108, La Tijera, 45647 La Tijera, Jal.</t>
  </si>
  <si>
    <t>https://www.linkedin.com/in/valeriacasmor</t>
  </si>
  <si>
    <t>Av. San Luis Gonzaga 4511, Jardines de Guadalupe, 45030 Zapopan, Jal.</t>
  </si>
  <si>
    <t>Alambiques 2871, Álamo Industrial, 44490, Guadalajara, Jalisco, México.</t>
  </si>
  <si>
    <t>33 3666 2740</t>
  </si>
  <si>
    <t>https://www.linkedin.com/company/grupo-rago/people/</t>
  </si>
  <si>
    <t>Calz. Lázaro Cárdenas 2815, Alamo Industrial, 45593 San Pedro Tlaquepaque, Jal., México</t>
  </si>
  <si>
    <t>33 3696 1055</t>
  </si>
  <si>
    <t>https://www.linkedin.com/in/luis-perez-ru%C3%ADz-6152721b2/</t>
  </si>
  <si>
    <t>Eliseo granja 3, Col. Revolucionaria Guadalajara, Jalisco, México</t>
  </si>
  <si>
    <t>https://mx.linkedin.com/in/oscar-benavides-reyes-760593196</t>
  </si>
  <si>
    <t>Benito Juárez #44, Col. Victor Hugo, Zapopan, Jalisco , C.P. 45190</t>
  </si>
  <si>
    <t>Av. Aviación 6449 C.P. 45019, Zapopan, Jalisco, México.</t>
  </si>
  <si>
    <t>https://www.linkedin.com/in/jose-luis-boschetti-a835aa22/</t>
  </si>
  <si>
    <t>Ajonjolí 3869, La Nogalera, 44470 Guadalajara, Jal.</t>
  </si>
  <si>
    <t>alarios@multiplastic.com.mx</t>
  </si>
  <si>
    <t>https://www.linkedin.com/in/alexislarios/</t>
  </si>
  <si>
    <t>Av. La Tijera 806, La Tijera, 45645 La Tijera, Jal.</t>
  </si>
  <si>
    <t>Cam. Viejo a Los Laureles 235, col. Santa Cruz Del Valle, 45679 Tlajomulco de Zúñiga, Jal.</t>
  </si>
  <si>
    <t>https://www.linkedin.com/in/oscar-alvidrez-7521a1192/</t>
  </si>
  <si>
    <t>Río Alamo 2070, El Rosario, 44898 Guadalajara, Jal.</t>
  </si>
  <si>
    <t>fernandoacosta@pepitorias.com.mx</t>
  </si>
  <si>
    <t>Antonio Álvarez Esparza No. 47, Col. Las Liebres, San Pedro Tlaquepaque</t>
  </si>
  <si>
    <t>https://www.linkedin.com/in/pm-stamping-sa-de-cv-9758b1188/?skipRedirect=true</t>
  </si>
  <si>
    <t>Nube 404, Paseos Universidad, 45016 Zapopan, Jal.</t>
  </si>
  <si>
    <t>Agua Prieta 46, Agua Blanca Sur, 45235 Zapopan, Jal.</t>
  </si>
  <si>
    <t>https://mx.linkedin.com/company/prodeyma</t>
  </si>
  <si>
    <t>Calle Cantera # 4645, Colonia Benito Juárez, Zapopan, Jal., C.P. 45199</t>
  </si>
  <si>
    <t>México,  Jalisco,  Guadalajara,  45070,  Calle Circunvalación Norte No. 6036 Col. Paseos del Sol Zapopan, Jalisco.</t>
  </si>
  <si>
    <t>https://mx.linkedin.com/in/jorge-hallal-385a97254</t>
  </si>
  <si>
    <t>Presa Oviachic #815, Colonia San Joaquín, C.P. 44770, Guadalajara, Jal.</t>
  </si>
  <si>
    <t>https://www.linkedin.com/in/diego-morales-672634123/</t>
  </si>
  <si>
    <t>Ignacio Jacobo 23, Industrial los Belenes, 45157 Zapopan, Jal.</t>
  </si>
  <si>
    <t>Industria del Plástico 2169, Fraccionamiento Industrial Zapopan Norte, C.P. 45130, Zapopan, Jalisco, México</t>
  </si>
  <si>
    <t>Prol. Gobernador Curiel # 6350, Col. Artesanos C.P. 45598 Tlaquepaque, Jalisco, México</t>
  </si>
  <si>
    <t>https://mx.linkedin.com/in/edmundo-avi%C3%B1a-barragan-562b2745</t>
  </si>
  <si>
    <t>Iguala 99, Col. San Sebastianito, C.P. 45601, Tlaquepaque, Jalisco.</t>
  </si>
  <si>
    <t>Marina Vallarta N°180-1 Interior 3 Col. Residencial Santa Margarita, Zapopan Jalisco</t>
  </si>
  <si>
    <t>Av. Gobernador Luis G. Curiel #2059, 44440 Guadalajara, JAL, México</t>
  </si>
  <si>
    <t>https://www.linkedin.com/in/c%C3%A9sar-g%C3%B3mez-81a1582b/</t>
  </si>
  <si>
    <t>Tricas Quintana Roo N.2374. Main Road</t>
  </si>
  <si>
    <t>Paraísos del Colli, 45069 Zapopan, Jalisco</t>
  </si>
  <si>
    <t>Av Enrique Díaz de León Sur 761, Moderna. Guadalajara, Jalisco 44190</t>
  </si>
  <si>
    <t>C. 5 532 A, Colón Industrial, Guadalajara, JAL, 44940, MX.</t>
  </si>
  <si>
    <t>christian@borse.com.mx</t>
  </si>
  <si>
    <t>https://www.linkedin.com/in/christian-winsnes-5b22744a/</t>
  </si>
  <si>
    <t>33 3659 8464</t>
  </si>
  <si>
    <t>33 3366 1977</t>
  </si>
  <si>
    <t>33 3245 9976</t>
  </si>
  <si>
    <t>33 3635 4504</t>
  </si>
  <si>
    <t>33 3619 0390</t>
  </si>
  <si>
    <t>33 3838 8642</t>
  </si>
  <si>
    <t xml:space="preserve"> Río Tuxcueca 1740, El Rosario, 44870 Guadalajara, Jal.</t>
  </si>
  <si>
    <t>33 3650 5283</t>
  </si>
  <si>
    <t>33 3001 6800</t>
  </si>
  <si>
    <t>33 3838 1890</t>
  </si>
  <si>
    <t>33 3600 1543</t>
  </si>
  <si>
    <t>33 3615 9271</t>
  </si>
  <si>
    <t>mx.linkedin.com/in/tony-orozco-52b36451</t>
  </si>
  <si>
    <t>https://www.linkedin.com/company/sigmapegamentos/people/</t>
  </si>
  <si>
    <t>Av. Topacio  #2805, Col. Verde Valle, Guadalajara Jalisco C.P 45550</t>
  </si>
  <si>
    <t>33 1654 2124</t>
  </si>
  <si>
    <t>linkedin.com/in/martin-montero-ugarte-a0ab131ab</t>
  </si>
  <si>
    <t>Martin Montenegro</t>
  </si>
  <si>
    <t>33 3126 8878</t>
  </si>
  <si>
    <t>https://mx.linkedin.com/in/diego-ram%C3%ADrez-castellanos</t>
  </si>
  <si>
    <t>33 3619 0430</t>
  </si>
  <si>
    <t>33 3657 0120</t>
  </si>
  <si>
    <t>33 1065 5969</t>
  </si>
  <si>
    <t>33 3838 7750</t>
  </si>
  <si>
    <t>https://www.linkedin.com/company/auto-express-24-horas-logistic/people/</t>
  </si>
  <si>
    <t>linkedin.com/in/jos%25C3%25A9-alberto-pe%25C3%25B1a-g%25C3%25B3nzalez-2a2b6a7?skipRedirect=true&amp;miniProfileUrn=urn%3Ali%3Afsd_profile%3AACoAAAFq3xoB0M_wm2sMwOHwcjsv5PolOWVX4k4</t>
  </si>
  <si>
    <t>https://www.linkedin.com/in/angel-rios-566682a2/</t>
  </si>
  <si>
    <t>Angel Rios</t>
  </si>
  <si>
    <t>Dirección General</t>
  </si>
  <si>
    <t>Av. Dr. Roberto Michel No. 2546 Parque Industrial el Álamo, C.P. 44490 Guadalajara, Jalisco, México.</t>
  </si>
  <si>
    <t>https://mx.linkedin.com/in/giovanni-gaggero-733315103</t>
  </si>
  <si>
    <t>Av. Dr. R. Michel, 2549, Guadalajara Jalisco 44895, Mx</t>
  </si>
  <si>
    <t>Av. Tonalá No. 2178, Col. San Pedrito, Tlaquepaque, Jal. C.P. 45625</t>
  </si>
  <si>
    <t>gerencia@fletesdeoriente.com</t>
  </si>
  <si>
    <t>Salvador Padilla</t>
  </si>
  <si>
    <t>Gerente</t>
  </si>
  <si>
    <t>https://www.linkedin.com/in/carlos-real-2aa146192/</t>
  </si>
  <si>
    <t>Calle Alambiques No. 2981, Colonia Álamo Industrial</t>
  </si>
  <si>
    <t>Río Alamo 2561, El Rosario, 44898 Guadalajara, Jal.</t>
  </si>
  <si>
    <t>mx.linkedin.com/in/carsten-groppe-33829b12</t>
  </si>
  <si>
    <t>Toneles 2743, Col. Álamo Industrial, C.P. 45560, en Tlaquepaque</t>
  </si>
  <si>
    <t>https://www.linkedin.com/in/wisillo/</t>
  </si>
  <si>
    <t>C. Salvador López Chávez 979, Atlas, 44870 Guadalajara, Jal., México</t>
  </si>
  <si>
    <t>Gabriel Gonzalo Noriega</t>
  </si>
  <si>
    <t>Administrador General</t>
  </si>
  <si>
    <t>https://www.linkedin.com/company/gobi-distribuidora/</t>
  </si>
  <si>
    <t>Toneles 1457, Alamo Industrial, San Pedro Tlaquepaque</t>
  </si>
  <si>
    <t>Periférico Sur Manuel Gómez Morín #8721 Col. ITESO, C.P. 45604, Tlaquepaque, Jalisco.</t>
  </si>
  <si>
    <t>Compresor número 2237, Código Postal 45593, en la colonia Álamo Industrial</t>
  </si>
  <si>
    <t>Calderas 1391-interior 10, Parque Industrial El Álamo, Alamo Industrial</t>
  </si>
  <si>
    <t>Toneles 1461, Álamo Industrial, 45609 San Pedro Tlaquepaque</t>
  </si>
  <si>
    <t>Calle Alambiques No. 2729, en la Colonia Álamo Industrial</t>
  </si>
  <si>
    <t>Calle Metalurgia 2820, Parque Industrial El Álamo</t>
  </si>
  <si>
    <t>https://www.linkedin.com/company/liderplastmx/</t>
  </si>
  <si>
    <t>https://www.linkedin.com/company/suelas-italia/people/</t>
  </si>
  <si>
    <t>Francisco Villa No. 984, Col. Agua Blanca Industrial</t>
  </si>
  <si>
    <t>Alambiques 2929, Álamo Industrial</t>
  </si>
  <si>
    <t>https://www.linkedin.com/company/somoldi/</t>
  </si>
  <si>
    <t>Alambiques 2929 col El Álamo, Tlaquepaque</t>
  </si>
  <si>
    <t>https://www.linkedin.com/company/poliflex-s-a-de-c-v/about/</t>
  </si>
  <si>
    <t>Metalúrgica 1501, Parque Industrial El Álamo</t>
  </si>
  <si>
    <t>33 1200 1000</t>
  </si>
  <si>
    <t>Calle 3 1138, en la zona industrial de Guadalajara</t>
  </si>
  <si>
    <t>https://www.linkedin.com/company/polimeros-tapat%C3%ADos/people/</t>
  </si>
  <si>
    <t>33 1942 9101</t>
  </si>
  <si>
    <t>Av. Del Colli No. 4605-A. El Colli Urbano, 45070 Zapopan</t>
  </si>
  <si>
    <t>https://www.linkedin.com/company/dimeo-apparel-group/</t>
  </si>
  <si>
    <t>Triángulo Chico #303, C.P. 45220, Colonia Nextipac, Zapopan</t>
  </si>
  <si>
    <t>Altos Hornos No. 1441, Col. Álamo Industrial</t>
  </si>
  <si>
    <t>Altos Hornos 1527 (Col. Alamo Industrial, Tlaquepaque)</t>
  </si>
  <si>
    <t>Dr Pérez Arce No. 28 (Calle 34 S.R.) Guadalajara, Jalisco, México.</t>
  </si>
  <si>
    <t>33 3770 8000</t>
  </si>
  <si>
    <t>Oleoducto 1480, Parque Industrial El Álamo, Alamo Industrial</t>
  </si>
  <si>
    <t>Altos Hornos #2763 Col. Álamo industrial</t>
  </si>
  <si>
    <t>https://www.linkedin.com/company/cepamosa-s-a-de-c-v/</t>
  </si>
  <si>
    <t>33 3666 2942</t>
  </si>
  <si>
    <t>33 3825 4467</t>
  </si>
  <si>
    <t>Río Alamo 2052, Col. Atlas, C.P.: 44870, Guadalajara, Jal.​</t>
  </si>
  <si>
    <t>33 3666 2220</t>
  </si>
  <si>
    <t>Torrecillas 1949-A Col. Atlas. Guadalajara, 44870 Jalisco, México</t>
  </si>
  <si>
    <t>33 3635 8783
33 3635 8714</t>
  </si>
  <si>
    <t>Oleoducto 2867, Parque Industrial El Álamo, Alamo Industrial</t>
  </si>
  <si>
    <t>Río Tizapán número 1747 Colonia Atlas, en Guadalajara Jalisco, México, C.P. 44870</t>
  </si>
  <si>
    <t>33 3838 2888</t>
  </si>
  <si>
    <t>Av. Washington No. 59 A, Colonia Ferrocarril, Guadalajara, CP 44440</t>
  </si>
  <si>
    <t>33 3346 5075</t>
  </si>
  <si>
    <t>33 4164 7688</t>
  </si>
  <si>
    <t>33 3650 2560</t>
  </si>
  <si>
    <t>Los Ángeles # 464, Guadalajara</t>
  </si>
  <si>
    <t>333 837 3200</t>
  </si>
  <si>
    <t>Av. Cruz del Sur 5079, Col. Colina de las Águilas, Zapopan, C.P. 45080</t>
  </si>
  <si>
    <t>SIDERURGIA 2815-B COL. ALAMO INDUSTRIAL</t>
  </si>
  <si>
    <t>33 3133 2309</t>
  </si>
  <si>
    <t>https://www.linkedin.com/in/jos%C3%A9-del-bosque-709869aa/</t>
  </si>
  <si>
    <t>Carretera a Nogales Km 17.5 No. 6701 Col. La Venta del Astillero, Zapopan, Jal. C.P. 45221</t>
  </si>
  <si>
    <t>33 1011 5596</t>
  </si>
  <si>
    <t>33 3777 1800</t>
  </si>
  <si>
    <t>Oleoducto 3123, Alamo Industrial, 44150 Łubnica, Jal.</t>
  </si>
  <si>
    <t>33 3271 5773</t>
  </si>
  <si>
    <t>C. Lateral Periferico Sur 2504, Los Periodistas, 45079 Zapopan, Jal.</t>
  </si>
  <si>
    <t>https://www.linkedin.com/company/clubice/?originalSubdomain=mx</t>
  </si>
  <si>
    <t>33 3188 5536
33 3188 5513</t>
  </si>
  <si>
    <t>33 3560 9822</t>
  </si>
  <si>
    <t>33 3628 6963
33 3634 6048</t>
  </si>
  <si>
    <t>Oleoducto 3087, Alamo Industrial, 45593 San Pedro Tlaquepaque</t>
  </si>
  <si>
    <t>https://www.linkedin.com/in/carlos-saucedo-vizcarra-b4a02243/</t>
  </si>
  <si>
    <t>33 4000 0281</t>
  </si>
  <si>
    <t>33 3824 9609</t>
  </si>
  <si>
    <t>Paseo de las Lomas 6383, Col. Lomas del Colli, Zapopan, Jalisco</t>
  </si>
  <si>
    <t>33 3837 6887</t>
  </si>
  <si>
    <t>Alambiques 3120, Parque Industrial El Álamo, Alamo Industrial</t>
  </si>
  <si>
    <t>Amado Aguirre 544, Jardines Alcalde, 44290 Guadalajara, Jal.</t>
  </si>
  <si>
    <t>33 3165  0414</t>
  </si>
  <si>
    <t>https://www.linkedin.com/company/el-rey-del-tornillo/</t>
  </si>
  <si>
    <t>33 3629 4634</t>
  </si>
  <si>
    <t>Limón 1476, Col. Del Fresno, Guadalajara, Jalisco</t>
  </si>
  <si>
    <t>33 3810 1799</t>
  </si>
  <si>
    <t>33 3133 1438</t>
  </si>
  <si>
    <t>OBSIDIANA, 1036, MARIANO OTERO, ZAPOPAN, JAL, C.P. 45067</t>
  </si>
  <si>
    <t>33 1028 8150
331725 3602</t>
  </si>
  <si>
    <t>CALLE PINO SUAREZ 410 EL RETIRO, GUADALAJARA, JALISCO</t>
  </si>
  <si>
    <t>33 3614 4440
33 3614 4412
33 3613 5089</t>
  </si>
  <si>
    <t>Calle quebrada 2916 santa eduwiges, guadalajara, jalisco 44580</t>
  </si>
  <si>
    <t>https://www.linkedin.com/in/tornillos-medina-a64555181/</t>
  </si>
  <si>
    <t>33 3656 6666</t>
  </si>
  <si>
    <t>av valle de san isidro 694 mirador de san isidro, zapopan, jalisco 45133</t>
  </si>
  <si>
    <t>33 3619 1106
33 3562 1374</t>
  </si>
  <si>
    <t>33 3654 0999</t>
  </si>
  <si>
    <t>Av Washington, 355/38, Ferrocarril, Guadalajara, C.P. 44440</t>
  </si>
  <si>
    <t>Av revolucion 81 analco, guadalajara, jalisco 44450</t>
  </si>
  <si>
    <t>33 3663 0816</t>
  </si>
  <si>
    <t>CALLE LUIS COVARRUBIAS, 779/ A, COL VALENTÍN GÓMEZ FARÍAS, GUADALAJAR</t>
  </si>
  <si>
    <t>33 3603 7032</t>
  </si>
  <si>
    <t>CALLE ROGELIO BACON 1304 INDEPENDENCIA PONIENTE, GUADALAJARA, JALISCO 44290</t>
  </si>
  <si>
    <t>33 3636 1140</t>
  </si>
  <si>
    <t>Calle 4 # 2554, Comercial Abastos Guadalajara, Jal, 44530</t>
  </si>
  <si>
    <t>CALLE SANTA LUCIA 15 EL VIGIA, ZAPOPAN, JALISCO 45140</t>
  </si>
  <si>
    <t>VOLCAN BARCENA 321 PANORAMICA HUENTITAN, GUADALAJARA, JALISCO 44259</t>
  </si>
  <si>
    <t>33 3674 4039</t>
  </si>
  <si>
    <t>JOSE MARIA VEREA, 3070, SAN RAFAEL, GUADALAJARA</t>
  </si>
  <si>
    <t>33 3644 2053</t>
  </si>
  <si>
    <t>33 3645 1118</t>
  </si>
  <si>
    <t>CALLE ISLA GUADALUPE 2966 JARDINES DEL SUR, GUADALAJARA, JALISCO 44950</t>
  </si>
  <si>
    <t>33 3614 3275
33 3671 3813
33 1611 9669</t>
  </si>
  <si>
    <t>33 3671 2899</t>
  </si>
  <si>
    <t>CALLE 1, LOCAL 3, MERCADO DE ABASTOS, GUADALAJARA</t>
  </si>
  <si>
    <t>COLMENA 1175, COMERCIAL, ABASTOS, 44530, GUADALAJARA, JAL</t>
  </si>
  <si>
    <t>CALLE INDEPENDENCIA, 706, CENTRO, GUADALAJARA, JAL, C.P. 44100</t>
  </si>
  <si>
    <t>33 1199 5400</t>
  </si>
  <si>
    <t>33 1656 4000</t>
  </si>
  <si>
    <t>33 3666 0193</t>
  </si>
  <si>
    <t>33 3627 5499</t>
  </si>
  <si>
    <t>33 3343 1463</t>
  </si>
  <si>
    <t>33 3280 1750</t>
  </si>
  <si>
    <t>33 3618 5921</t>
  </si>
  <si>
    <t>33 3162 0079</t>
  </si>
  <si>
    <t>33 3040 2270</t>
  </si>
  <si>
    <t>33 3671 0290</t>
  </si>
  <si>
    <t>33 3631 7225</t>
  </si>
  <si>
    <t xml:space="preserve">33 3673 7500 </t>
  </si>
  <si>
    <t>33 2053 0370</t>
  </si>
  <si>
    <t>33 1257 0399</t>
  </si>
  <si>
    <t>33 3133 1129</t>
  </si>
  <si>
    <t>33 3612 1070   </t>
  </si>
  <si>
    <t>33 3261 6093</t>
  </si>
  <si>
    <t>33 3636 6970</t>
  </si>
  <si>
    <t xml:space="preserve"> 33 4777 1000</t>
  </si>
  <si>
    <t>33 3656 5505</t>
  </si>
  <si>
    <t>33 3811 0827</t>
  </si>
  <si>
    <t>33 3351 4722</t>
  </si>
  <si>
    <t>33 3540 2500</t>
  </si>
  <si>
    <t>33 3650 3252</t>
  </si>
  <si>
    <t>33 3077 3360
33 3156 9250</t>
  </si>
  <si>
    <t>33 1895 3302</t>
  </si>
  <si>
    <t>Claudia Jaime</t>
  </si>
  <si>
    <t>jaimelclaudia@hotmail.com</t>
  </si>
  <si>
    <t>https://www.linkedin.com/in/claudia-jaime-8bb16328/</t>
  </si>
  <si>
    <t>https://www.linkedin.com/company/botellas-y-tapas-cristal-s.a.-de-c.v./about/</t>
  </si>
  <si>
    <t>Rechazo</t>
  </si>
  <si>
    <t>La Fiesta Reynoso</t>
  </si>
  <si>
    <t>333 684 8206</t>
  </si>
  <si>
    <t>33 8995 8991</t>
  </si>
  <si>
    <t>33 2264 7370</t>
  </si>
  <si>
    <t>33 1415 7560</t>
  </si>
  <si>
    <t>33 3811 1334</t>
  </si>
  <si>
    <t>33 3383 3987</t>
  </si>
  <si>
    <t>33 3811 9151</t>
  </si>
  <si>
    <t>33 1933 3983</t>
  </si>
  <si>
    <t>No existen los teléfonos</t>
  </si>
  <si>
    <t>No contestan en corporativo</t>
  </si>
  <si>
    <t>Comentarios</t>
  </si>
  <si>
    <t>José Roji</t>
  </si>
  <si>
    <t>Gerente Administrativo</t>
  </si>
  <si>
    <t>jose.roji@pmstamping.com</t>
  </si>
  <si>
    <t>Aaron Bustamante es el director general</t>
  </si>
  <si>
    <t>Manda directo a buzon</t>
  </si>
  <si>
    <t>administracion@prodeyma.com</t>
  </si>
  <si>
    <t>-</t>
  </si>
  <si>
    <t>ventas@innobags.com</t>
  </si>
  <si>
    <t>El director general tiene acceso al correo de ventas</t>
  </si>
  <si>
    <t>sabrosam01@gmail.com</t>
  </si>
  <si>
    <t>info@tecniplastmexico.com</t>
  </si>
  <si>
    <t>A quien corresponda</t>
  </si>
  <si>
    <t>Forzac</t>
  </si>
  <si>
    <t>https://www.forzac.com.mx/es/</t>
  </si>
  <si>
    <t>Andrés Errejón</t>
  </si>
  <si>
    <t>andres.errejon@tya.com.mx</t>
  </si>
  <si>
    <t>Llamada</t>
  </si>
  <si>
    <t>Concreto premezclado</t>
  </si>
  <si>
    <t>Fabricante de concreto premezclado y concretos especiales para proyectos de construcción e infraestructura.</t>
  </si>
  <si>
    <t>Por recibir información</t>
  </si>
  <si>
    <t>Número de empresas</t>
  </si>
  <si>
    <t>Total</t>
  </si>
  <si>
    <t>Kadled</t>
  </si>
  <si>
    <t>Jose Luis Valdovinos</t>
  </si>
  <si>
    <t>Asesor</t>
  </si>
  <si>
    <t>Manufactura electrónica y tableros eléctricos</t>
  </si>
  <si>
    <t>Diseña y fabrica ensambles electrónicos, tableros eléctricos de baja tensión y soluciones de iluminación industrial para proyectos de infraestructura e industria.</t>
  </si>
  <si>
    <t>https://www.kadled.mx/</t>
  </si>
  <si>
    <t>luis.valdovinos@capafin.com</t>
  </si>
  <si>
    <t>Insert New Rows</t>
  </si>
  <si>
    <t>Rebotado</t>
  </si>
  <si>
    <t>administracion@cei.mx</t>
  </si>
  <si>
    <t>ebrambila@flavorscgv.com</t>
  </si>
  <si>
    <t>Erika Brambila</t>
  </si>
  <si>
    <t>Gerente Administrativa</t>
  </si>
  <si>
    <t>Victor Hugo Alarcon, Director General. Pablo le marco del telefono de nacho</t>
  </si>
  <si>
    <t>Fernando López</t>
  </si>
  <si>
    <t>proyectos@gruporago.com</t>
  </si>
  <si>
    <t>gerencia@gsi-ingredientes.com.mx</t>
  </si>
  <si>
    <t>Dirigirla a quien corresponda</t>
  </si>
  <si>
    <t>IR</t>
  </si>
  <si>
    <t>Es Benmart</t>
  </si>
  <si>
    <t>33 3609 1042</t>
  </si>
  <si>
    <t>Jennifer Becerra</t>
  </si>
  <si>
    <t>complemento@productosavila.com</t>
  </si>
  <si>
    <t>Listo</t>
  </si>
  <si>
    <t>Minerva Velarde</t>
  </si>
  <si>
    <t>contacto@tornillosespecializados.com.mx</t>
  </si>
  <si>
    <t>No entran las llamadas en ninguno de los dos teléfonos</t>
  </si>
  <si>
    <t>Colgaron y ya no contestan</t>
  </si>
  <si>
    <t>Oscar Esparza</t>
  </si>
  <si>
    <t>oscar.esparza@montenegroeditores.net</t>
  </si>
  <si>
    <t>En LinkedIn dice que es el contador de Grupo Vida</t>
  </si>
  <si>
    <t>No estan interesados en el proyecto</t>
  </si>
  <si>
    <t>PF</t>
  </si>
  <si>
    <t>Yael Esqueda</t>
  </si>
  <si>
    <t>administracion@divisionesycorrugados.com.mx</t>
  </si>
  <si>
    <t>Sr.Flores</t>
  </si>
  <si>
    <t>empresa familiar de 5 integrantes, que es muy peque;a</t>
  </si>
  <si>
    <t>multiempak@yahoo.com.mx</t>
  </si>
  <si>
    <t>Guadalupe Martinez</t>
  </si>
  <si>
    <t>gmartinez@textilehouse.com.mx</t>
  </si>
  <si>
    <t>Por cuadrar llamada</t>
  </si>
  <si>
    <t>Carlos Rosas</t>
  </si>
  <si>
    <t>carlos.rosas@rm-m.com.mx</t>
  </si>
  <si>
    <t>Asistente de director</t>
  </si>
  <si>
    <t>guadalajra@disenosdecarton.com</t>
  </si>
  <si>
    <t>bolibolsas@gmai.com</t>
  </si>
  <si>
    <t>correo de dueño</t>
  </si>
  <si>
    <t>Rigo Carr</t>
  </si>
  <si>
    <t>rigocarr3@gmail.com</t>
  </si>
  <si>
    <t>Miguel Zepeda</t>
  </si>
  <si>
    <t>ventas@silkypapel.com</t>
  </si>
  <si>
    <t>33-3134-5757</t>
  </si>
  <si>
    <t>Norma</t>
  </si>
  <si>
    <t>contacto@gdt.mx</t>
  </si>
  <si>
    <t>Van a marcar a PFM</t>
  </si>
  <si>
    <t>Victoria Rivas</t>
  </si>
  <si>
    <t>Secretaria</t>
  </si>
  <si>
    <t>informes@envasesval.com.mx</t>
  </si>
  <si>
    <t>Raúl Sánchez</t>
  </si>
  <si>
    <t>ventas1_tmc@hotmail.com</t>
  </si>
  <si>
    <t>plasticossantalucia.1297@gmail.com</t>
  </si>
  <si>
    <t>Rechazo en llamada</t>
  </si>
  <si>
    <t>direccion.medina@tornillosmedina.com</t>
  </si>
  <si>
    <t>contacto@clubice.com.mx</t>
  </si>
  <si>
    <t>Alejandro Gómez, Director General</t>
  </si>
  <si>
    <t>A quien Corresponda</t>
  </si>
  <si>
    <t>snuno@kosolar.com.mx</t>
  </si>
  <si>
    <t>Cesar Morales</t>
  </si>
  <si>
    <t>info@refa100.com</t>
  </si>
  <si>
    <t>Volver a marcar</t>
  </si>
  <si>
    <t>contraloria@polimerostapatios.com</t>
  </si>
  <si>
    <t>Jonathan Romero</t>
  </si>
  <si>
    <t xml:space="preserve">Dirección </t>
  </si>
  <si>
    <t>jonathan.romero@aceroscoyotes.com</t>
  </si>
  <si>
    <t>muy chicos 6 personas</t>
  </si>
  <si>
    <t>Luis Salcedo</t>
  </si>
  <si>
    <t>luis.salcedo@superruedas.com.mx</t>
  </si>
  <si>
    <t>Sofía Rodriguez</t>
  </si>
  <si>
    <t>sofia_rodriguez@imprimatur.com.mx</t>
  </si>
  <si>
    <t>recepcion@tubin.com.mx</t>
  </si>
  <si>
    <t>Martha Osuna</t>
  </si>
  <si>
    <t>marthaosuna62@hotmail.com</t>
  </si>
  <si>
    <t>María Elena de la Torre</t>
  </si>
  <si>
    <t>compras@almetindustrial.com</t>
  </si>
  <si>
    <t>No están interesados</t>
  </si>
  <si>
    <t>La persona de compras tiene contacto directo con el director</t>
  </si>
  <si>
    <t>Llevar carta física</t>
  </si>
  <si>
    <t>Carta Presencial</t>
  </si>
  <si>
    <t>ventas.teposa99@gmail.com</t>
  </si>
  <si>
    <t>Ramon Mejia, Director</t>
  </si>
  <si>
    <t>Blanca Favela</t>
  </si>
  <si>
    <t>carmenmartinez.uniformescarmen@gmail.com</t>
  </si>
  <si>
    <t>Caremen Martínez</t>
  </si>
  <si>
    <t>compras@jrpaqueteria.mx</t>
  </si>
  <si>
    <t>Qualmex</t>
  </si>
  <si>
    <t>Distribuye e integra equipos tecnológicos para medios de pago, punto de venta (POS), cómputo industrial y soluciones de autoservicio para industrias como retail, transporte, vending y estacionamientos.</t>
  </si>
  <si>
    <t>Distribución de hardware tecnológico y soluciones para automatización industrial y medios de pago</t>
  </si>
  <si>
    <t>https://www.qualmex.com/en</t>
  </si>
  <si>
    <t>Contactada por MVT</t>
  </si>
  <si>
    <t>Reunion Presencial</t>
  </si>
  <si>
    <t>Iñaki Mendizabal</t>
  </si>
  <si>
    <t xml:space="preserve">Se trata de una empresa mexicana especializada en el abastecimiento de válvulas industriales manuales, automatizadas y de control para distintas aplicaciones industriales. La compañía ofrece soluciones para válvulas de mariposa, alto rendimiento, triple excentricidad, bola, compuerta, cuchillas, globo, check, pistón, reguladoras de presión, reguladoras de flujo, diafragma, chorro divergente, pellizco, aguja, seguridad y alivio, higiénicas sanitarias y diversoras.
</t>
  </si>
  <si>
    <t>IB contactado por IRB</t>
  </si>
  <si>
    <t>Fabricación de válvulas industriales y equipos para control de fluidos</t>
  </si>
  <si>
    <t>Pendiente</t>
  </si>
  <si>
    <t>Empresa de válvulas industriales</t>
  </si>
  <si>
    <t>Información</t>
  </si>
  <si>
    <t>Siguiente paso</t>
  </si>
  <si>
    <t>Interés confirmado | NDA firmado y pendiente recepción de información</t>
  </si>
  <si>
    <t>Seguimiento para recibir información</t>
  </si>
  <si>
    <t>Interés confirmado | En espera de decisión de accionistas​</t>
  </si>
  <si>
    <t>Seguimiento para recibir respuesta</t>
  </si>
  <si>
    <t>Interés confirmado |  Pendiente llamada inicial</t>
  </si>
  <si>
    <t>Interés confirmado |  Pendiente firmar NDA</t>
  </si>
  <si>
    <t>Declinado | No cumple con los criterios de búsqueda (ventas)</t>
  </si>
  <si>
    <t>No tienen interés por vender en este momento.</t>
  </si>
  <si>
    <t>Declinado | No tienen interés en explorar una venta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</si>
</sst>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1" formatCode="_-* #,##0_-;\-* #,##0_-;_-* &quot;-&quot;_-;_-@_-"/>
    <numFmt numFmtId="43" formatCode="_-* #,##0.00_-;\-* #,##0.00_-;_-* &quot;-&quot;??_-;_-@_-"/>
    <numFmt numFmtId="164" formatCode="_-&quot;£&quot;* #,##0_-;\-&quot;£&quot;* #,##0_-;_-&quot;£&quot;* &quot;-&quot;_-;_-@_-"/>
    <numFmt numFmtId="165" formatCode="_-&quot;£&quot;* #,##0.00_-;\-&quot;£&quot;* #,##0.00_-;_-&quot;£&quot;* &quot;-&quot;??_-;_-@_-"/>
    <numFmt numFmtId="166" formatCode="[Magenta]&quot;Err&quot;;[Magenta]&quot;Err&quot;;[Blue]&quot;OK&quot;"/>
    <numFmt numFmtId="167" formatCode="[Red][&gt;1]&quot;&gt;100 %&quot;;[Red]\(0.0%\);0.0_)%"/>
    <numFmt numFmtId="168" formatCode="General\ &quot;.&quot;"/>
    <numFmt numFmtId="169" formatCode="#,##0_);[Red]\(#,##0\);\-\-_)"/>
    <numFmt numFmtId="170" formatCode="0.0_)%;[Red]\(0.0%\);\-\-"/>
    <numFmt numFmtId="171" formatCode="#,##0.0_);[Red]\(#,##0.0\);\-\-_)"/>
    <numFmt numFmtId="172" formatCode="[Blue]&quot;P&quot;;;[Red]&quot;O&quot;"/>
    <numFmt numFmtId="173" formatCode="dd\-mmm\-yy;;\-\-_)"/>
    <numFmt numFmtId="174" formatCode="###0_);\(###0\);\-\-_);@_)"/>
    <numFmt numFmtId="175" formatCode="#,##0;[Red]#,##0;&quot;--&quot;"/>
    <numFmt numFmtId="176" formatCode="#,##0_);\(#,##0\);&quot;--&quot;_)"/>
    <numFmt numFmtId="177" formatCode="&quot;Concentrado nómina sem # &quot;#,##0_);[Red]\(#,##0\);\-\-_)"/>
  </numFmts>
  <fonts count="46" x14ac:knownFonts="1">
    <font>
      <sz val="10"/>
      <name val="Arial"/>
      <family val="2"/>
    </font>
    <font>
      <sz val="11"/>
      <color theme="1"/>
      <name val="Corbel"/>
      <family val="2"/>
      <scheme val="minor"/>
    </font>
    <font>
      <sz val="11"/>
      <color theme="1"/>
      <name val="Corbel"/>
      <family val="2"/>
      <scheme val="minor"/>
    </font>
    <font>
      <sz val="12"/>
      <name val="Times New Roman"/>
      <family val="1"/>
    </font>
    <font>
      <sz val="10"/>
      <name val="Arial"/>
      <family val="2"/>
    </font>
    <font>
      <b/>
      <sz val="8"/>
      <color indexed="12"/>
      <name val="Arial"/>
      <family val="2"/>
    </font>
    <font>
      <b/>
      <sz val="10"/>
      <name val="Arial"/>
      <family val="2"/>
    </font>
    <font>
      <b/>
      <u/>
      <sz val="10"/>
      <color indexed="12"/>
      <name val="Arial"/>
      <family val="2"/>
    </font>
    <font>
      <sz val="10"/>
      <color indexed="8"/>
      <name val="Arial"/>
      <family val="2"/>
    </font>
    <font>
      <sz val="10"/>
      <color indexed="12"/>
      <name val="Arial"/>
      <family val="2"/>
    </font>
    <font>
      <b/>
      <sz val="12"/>
      <color indexed="8"/>
      <name val="Arial"/>
      <family val="2"/>
    </font>
    <font>
      <b/>
      <sz val="10.5"/>
      <color indexed="8"/>
      <name val="Arial"/>
      <family val="2"/>
    </font>
    <font>
      <i/>
      <sz val="10"/>
      <color indexed="8"/>
      <name val="Arial"/>
      <family val="2"/>
    </font>
    <font>
      <sz val="10"/>
      <color rgb="FFF0F0F0"/>
      <name val="Arial"/>
      <family val="2"/>
    </font>
    <font>
      <b/>
      <sz val="10"/>
      <color theme="7"/>
      <name val="Arial"/>
      <family val="2"/>
    </font>
    <font>
      <b/>
      <sz val="10"/>
      <color rgb="FFF0F0F0"/>
      <name val="Arial"/>
      <family val="2"/>
    </font>
    <font>
      <b/>
      <sz val="10"/>
      <color theme="2"/>
      <name val="Arial"/>
      <family val="2"/>
    </font>
    <font>
      <b/>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65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b/>
      <sz val="10"/>
      <color indexed="8"/>
      <name val="Wingdings 2"/>
      <family val="1"/>
      <charset val="2"/>
    </font>
    <font>
      <u/>
      <sz val="10"/>
      <color theme="10"/>
      <name val="Arial"/>
      <family val="2"/>
    </font>
    <font>
      <u/>
      <sz val="10"/>
      <color theme="11"/>
      <name val="Arial"/>
      <family val="2"/>
    </font>
    <font>
      <b/>
      <sz val="16"/>
      <color theme="0"/>
      <name val="Arial"/>
      <family val="2"/>
    </font>
    <font>
      <sz val="14"/>
      <color theme="0"/>
      <name val="Arial"/>
      <family val="2"/>
    </font>
    <font>
      <b/>
      <sz val="10"/>
      <color theme="0"/>
      <name val="Arial"/>
      <family val="2"/>
    </font>
    <font>
      <sz val="10"/>
      <color rgb="FFEE7D3F"/>
      <name val="Arial"/>
      <family val="2"/>
    </font>
    <font>
      <b/>
      <sz val="12"/>
      <color theme="0"/>
      <name val="Arial"/>
      <family val="2"/>
    </font>
    <font>
      <b/>
      <i/>
      <sz val="10"/>
      <color indexed="12"/>
      <name val="Arial"/>
      <family val="2"/>
    </font>
    <font>
      <sz val="10"/>
      <color rgb="FF00B050"/>
      <name val="Arial"/>
      <family val="2"/>
    </font>
    <font>
      <sz val="12"/>
      <color theme="1"/>
      <name val="Corbel"/>
      <family val="2"/>
      <scheme val="minor"/>
    </font>
    <font>
      <b/>
      <i/>
      <sz val="10"/>
      <color theme="1" tint="0.499984740745262"/>
      <name val="Arial"/>
      <family val="2"/>
    </font>
    <font>
      <sz val="10"/>
      <color theme="0"/>
      <name val="Arial"/>
      <family val="2"/>
    </font>
  </fonts>
  <fills count="48">
    <fill>
      <patternFill patternType="none"/>
    </fill>
    <fill>
      <patternFill patternType="gray125"/>
    </fill>
    <fill>
      <patternFill patternType="solid">
        <fgColor indexed="45"/>
      </patternFill>
    </fill>
    <fill>
      <patternFill patternType="solid">
        <fgColor indexed="11"/>
      </patternFill>
    </fill>
    <fill>
      <patternFill patternType="solid">
        <fgColor indexed="55"/>
      </patternFill>
    </fill>
    <fill>
      <patternFill patternType="solid">
        <fgColor indexed="43"/>
      </patternFill>
    </fill>
    <fill>
      <patternFill patternType="solid">
        <fgColor indexed="44"/>
        <bgColor indexed="64"/>
      </patternFill>
    </fill>
    <fill>
      <patternFill patternType="solid">
        <fgColor indexed="43"/>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gray125">
        <fgColor theme="0"/>
        <bgColor indexed="55"/>
      </patternFill>
    </fill>
    <fill>
      <patternFill patternType="solid">
        <fgColor rgb="FF0033CC"/>
        <bgColor indexed="64"/>
      </patternFill>
    </fill>
    <fill>
      <patternFill patternType="solid">
        <fgColor theme="0"/>
        <bgColor indexed="64"/>
      </patternFill>
    </fill>
    <fill>
      <patternFill patternType="solid">
        <fgColor theme="2" tint="-9.9948118533890809E-2"/>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rgb="FF1E344E"/>
        <bgColor indexed="64"/>
      </patternFill>
    </fill>
    <fill>
      <patternFill patternType="solid">
        <fgColor rgb="FF002060"/>
        <bgColor indexed="64"/>
      </patternFill>
    </fill>
  </fills>
  <borders count="17">
    <border>
      <left/>
      <right/>
      <top/>
      <bottom/>
      <diagonal/>
    </border>
    <border>
      <left/>
      <right/>
      <top style="thin">
        <color indexed="8"/>
      </top>
      <bottom style="thin">
        <color indexed="8"/>
      </bottom>
      <diagonal/>
    </border>
    <border>
      <left/>
      <right/>
      <top style="thin">
        <color indexed="8"/>
      </top>
      <bottom style="double">
        <color indexed="8"/>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0"/>
      </bottom>
      <diagonal/>
    </border>
    <border>
      <left/>
      <right/>
      <top style="medium">
        <color rgb="FF002060"/>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indexed="64"/>
      </bottom>
      <diagonal/>
    </border>
  </borders>
  <cellStyleXfs count="120">
    <xf numFmtId="169" fontId="0" fillId="0" borderId="0" applyFill="0" applyBorder="0" applyAlignment="0" applyProtection="0"/>
    <xf numFmtId="0" fontId="3" fillId="4" borderId="0" applyNumberFormat="0" applyFont="0" applyBorder="0" applyAlignment="0" applyProtection="0"/>
    <xf numFmtId="169" fontId="9" fillId="0" borderId="0" applyFill="0" applyBorder="0" applyAlignment="0" applyProtection="0"/>
    <xf numFmtId="166" fontId="5" fillId="0" borderId="0" applyFill="0" applyBorder="0"/>
    <xf numFmtId="173" fontId="8" fillId="0" borderId="0" applyFill="0" applyBorder="0" applyProtection="0">
      <alignment horizontal="center"/>
    </xf>
    <xf numFmtId="0" fontId="3" fillId="2" borderId="0" applyNumberFormat="0" applyFont="0" applyBorder="0" applyAlignment="0" applyProtection="0"/>
    <xf numFmtId="168" fontId="10" fillId="43" borderId="13" applyAlignment="0" applyProtection="0"/>
    <xf numFmtId="169" fontId="11" fillId="0" borderId="0" applyNumberFormat="0" applyFill="0" applyBorder="0" applyAlignment="0" applyProtection="0"/>
    <xf numFmtId="169" fontId="12" fillId="0" borderId="0" applyNumberFormat="0" applyFill="0" applyBorder="0" applyAlignment="0" applyProtection="0"/>
    <xf numFmtId="173" fontId="9" fillId="5" borderId="15">
      <alignment horizontal="center"/>
      <protection locked="0"/>
    </xf>
    <xf numFmtId="170" fontId="9" fillId="7" borderId="14" applyAlignment="0">
      <protection locked="0"/>
    </xf>
    <xf numFmtId="169" fontId="8" fillId="0" borderId="0" applyFill="0" applyBorder="0" applyAlignment="0" applyProtection="0"/>
    <xf numFmtId="167" fontId="8" fillId="0" borderId="0" applyFill="0" applyBorder="0" applyAlignment="0" applyProtection="0"/>
    <xf numFmtId="0" fontId="3" fillId="0" borderId="1" applyNumberFormat="0" applyFont="0" applyAlignment="0" applyProtection="0"/>
    <xf numFmtId="0" fontId="3" fillId="0" borderId="2" applyNumberFormat="0" applyFont="0" applyAlignment="0" applyProtection="0"/>
    <xf numFmtId="0" fontId="3" fillId="3" borderId="0" applyNumberFormat="0" applyFont="0" applyBorder="0" applyAlignment="0" applyProtection="0"/>
    <xf numFmtId="0" fontId="7" fillId="6" borderId="0" applyFill="0" applyBorder="0" applyProtection="0"/>
    <xf numFmtId="43" fontId="4" fillId="0" borderId="0" applyFont="0" applyFill="0" applyBorder="0" applyAlignment="0" applyProtection="0"/>
    <xf numFmtId="41" fontId="4" fillId="0" borderId="0" applyFont="0" applyFill="0" applyBorder="0" applyAlignment="0" applyProtection="0"/>
    <xf numFmtId="165"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xf numFmtId="169" fontId="9" fillId="5" borderId="15" applyAlignment="0">
      <protection locked="0"/>
    </xf>
    <xf numFmtId="0" fontId="17" fillId="0" borderId="0" applyNumberFormat="0" applyFill="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9" borderId="0" applyNumberFormat="0" applyBorder="0" applyAlignment="0" applyProtection="0"/>
    <xf numFmtId="0" fontId="22" fillId="10" borderId="0" applyNumberFormat="0" applyBorder="0" applyAlignment="0" applyProtection="0"/>
    <xf numFmtId="0" fontId="23" fillId="11" borderId="0" applyNumberFormat="0" applyBorder="0" applyAlignment="0" applyProtection="0"/>
    <xf numFmtId="0" fontId="24" fillId="12" borderId="6" applyNumberFormat="0" applyAlignment="0" applyProtection="0"/>
    <xf numFmtId="0" fontId="25" fillId="13" borderId="7" applyNumberFormat="0" applyAlignment="0" applyProtection="0"/>
    <xf numFmtId="0" fontId="26" fillId="13" borderId="6" applyNumberFormat="0" applyAlignment="0" applyProtection="0"/>
    <xf numFmtId="0" fontId="27" fillId="0" borderId="8" applyNumberFormat="0" applyFill="0" applyAlignment="0" applyProtection="0"/>
    <xf numFmtId="0" fontId="28" fillId="14" borderId="9" applyNumberFormat="0" applyAlignment="0" applyProtection="0"/>
    <xf numFmtId="0" fontId="29" fillId="0" borderId="0" applyNumberFormat="0" applyFill="0" applyBorder="0" applyAlignment="0" applyProtection="0"/>
    <xf numFmtId="0" fontId="4" fillId="15" borderId="10" applyNumberFormat="0" applyFont="0" applyAlignment="0" applyProtection="0"/>
    <xf numFmtId="0" fontId="30" fillId="0" borderId="0" applyNumberFormat="0" applyFill="0" applyBorder="0" applyAlignment="0" applyProtection="0"/>
    <xf numFmtId="0" fontId="31" fillId="0" borderId="11" applyNumberFormat="0" applyFill="0" applyAlignment="0" applyProtection="0"/>
    <xf numFmtId="0" fontId="3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2" fillId="27" borderId="0" applyNumberFormat="0" applyBorder="0" applyAlignment="0" applyProtection="0"/>
    <xf numFmtId="0" fontId="32"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2" fillId="31" borderId="0" applyNumberFormat="0" applyBorder="0" applyAlignment="0" applyProtection="0"/>
    <xf numFmtId="0" fontId="32"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32" fillId="39" borderId="0" applyNumberFormat="0" applyBorder="0" applyAlignment="0" applyProtection="0"/>
    <xf numFmtId="171" fontId="9" fillId="0" borderId="15">
      <alignment horizontal="center"/>
    </xf>
    <xf numFmtId="172" fontId="33" fillId="0" borderId="0" applyFill="0" applyBorder="0" applyProtection="0"/>
    <xf numFmtId="169" fontId="34" fillId="0" borderId="0" applyNumberFormat="0" applyFill="0" applyBorder="0" applyAlignment="0" applyProtection="0"/>
    <xf numFmtId="169" fontId="35" fillId="0" borderId="0" applyNumberFormat="0" applyFill="0" applyBorder="0" applyAlignment="0" applyProtection="0"/>
    <xf numFmtId="0" fontId="3" fillId="40" borderId="14" applyNumberFormat="0" applyFont="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0" fontId="38" fillId="41" borderId="0">
      <alignment horizontal="center"/>
    </xf>
    <xf numFmtId="175" fontId="8" fillId="42" borderId="14"/>
    <xf numFmtId="0" fontId="42"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74" fontId="9" fillId="8" borderId="15"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35" fillId="0" borderId="0" applyNumberFormat="0" applyFill="0" applyBorder="0" applyAlignment="0" applyProtection="0"/>
    <xf numFmtId="169" fontId="9" fillId="5" borderId="15" applyAlignment="0">
      <protection locked="0"/>
    </xf>
    <xf numFmtId="169" fontId="34" fillId="0" borderId="0" applyNumberFormat="0" applyFill="0" applyBorder="0" applyAlignment="0" applyProtection="0"/>
    <xf numFmtId="169" fontId="35" fillId="0" borderId="0" applyNumberFormat="0" applyFill="0" applyBorder="0" applyAlignment="0" applyProtection="0"/>
    <xf numFmtId="169" fontId="34" fillId="0" borderId="0" applyNumberFormat="0" applyFill="0" applyBorder="0" applyAlignment="0" applyProtection="0"/>
    <xf numFmtId="169" fontId="35" fillId="0" borderId="0" applyNumberFormat="0" applyFill="0" applyBorder="0" applyAlignment="0" applyProtection="0"/>
    <xf numFmtId="169" fontId="41" fillId="4" borderId="0">
      <protection locked="0"/>
    </xf>
    <xf numFmtId="176" fontId="42" fillId="0" borderId="15">
      <alignment horizontal="center"/>
    </xf>
    <xf numFmtId="169" fontId="4" fillId="0" borderId="0" applyFill="0" applyBorder="0" applyAlignment="0" applyProtection="0"/>
    <xf numFmtId="43" fontId="1" fillId="0" borderId="0" applyFont="0" applyFill="0" applyBorder="0" applyAlignment="0" applyProtection="0"/>
    <xf numFmtId="0" fontId="43" fillId="0" borderId="0"/>
    <xf numFmtId="169" fontId="9" fillId="8" borderId="15" applyProtection="0"/>
    <xf numFmtId="169" fontId="34" fillId="0" borderId="0" applyNumberFormat="0" applyFill="0" applyBorder="0" applyAlignment="0" applyProtection="0"/>
  </cellStyleXfs>
  <cellXfs count="98">
    <xf numFmtId="169" fontId="0" fillId="0" borderId="0" xfId="0"/>
    <xf numFmtId="169" fontId="6" fillId="0" borderId="0" xfId="0" applyFont="1" applyFill="1" applyBorder="1"/>
    <xf numFmtId="169" fontId="4" fillId="0" borderId="0" xfId="0" applyFont="1" applyFill="1" applyBorder="1"/>
    <xf numFmtId="169" fontId="0" fillId="0" borderId="0" xfId="0" applyFill="1" applyBorder="1"/>
    <xf numFmtId="0" fontId="11" fillId="0" borderId="0" xfId="7" applyNumberFormat="1"/>
    <xf numFmtId="169" fontId="4" fillId="0" borderId="0" xfId="0" applyFont="1" applyFill="1" applyBorder="1" applyAlignment="1">
      <alignment horizontal="center"/>
    </xf>
    <xf numFmtId="0" fontId="11" fillId="0" borderId="0" xfId="7" applyNumberFormat="1" applyAlignment="1">
      <alignment horizontal="center"/>
    </xf>
    <xf numFmtId="169" fontId="11" fillId="0" borderId="0" xfId="7" applyFill="1" applyBorder="1"/>
    <xf numFmtId="169" fontId="12" fillId="0" borderId="0" xfId="8" applyFill="1" applyBorder="1"/>
    <xf numFmtId="168" fontId="10" fillId="43" borderId="13" xfId="6"/>
    <xf numFmtId="168" fontId="10" fillId="43" borderId="13" xfId="6" applyAlignment="1">
      <alignment horizontal="center"/>
    </xf>
    <xf numFmtId="169" fontId="40" fillId="44" borderId="0" xfId="0" applyFont="1" applyFill="1" applyBorder="1"/>
    <xf numFmtId="169" fontId="39" fillId="44" borderId="0" xfId="0" applyFont="1" applyFill="1" applyBorder="1"/>
    <xf numFmtId="169" fontId="39" fillId="44" borderId="0" xfId="0" applyFont="1" applyFill="1" applyBorder="1" applyAlignment="1">
      <alignment horizontal="center"/>
    </xf>
    <xf numFmtId="169" fontId="40" fillId="45" borderId="0" xfId="0" applyFont="1" applyFill="1" applyBorder="1"/>
    <xf numFmtId="169" fontId="39" fillId="45" borderId="0" xfId="0" applyFont="1" applyFill="1" applyBorder="1"/>
    <xf numFmtId="169" fontId="0" fillId="0" borderId="0" xfId="0" applyFill="1" applyBorder="1" applyAlignment="1">
      <alignment horizontal="left"/>
    </xf>
    <xf numFmtId="169" fontId="0" fillId="0" borderId="0" xfId="0" applyFill="1" applyBorder="1" applyAlignment="1">
      <alignment horizontal="center"/>
    </xf>
    <xf numFmtId="169" fontId="9" fillId="5" borderId="15" xfId="108">
      <protection locked="0"/>
    </xf>
    <xf numFmtId="169" fontId="36" fillId="46" borderId="12" xfId="0" applyFont="1" applyFill="1" applyBorder="1"/>
    <xf numFmtId="169" fontId="13" fillId="46" borderId="12" xfId="0" applyFont="1" applyFill="1" applyBorder="1"/>
    <xf numFmtId="169" fontId="13" fillId="46" borderId="12" xfId="0" applyFont="1" applyFill="1" applyBorder="1" applyAlignment="1">
      <alignment horizontal="center"/>
    </xf>
    <xf numFmtId="169" fontId="37" fillId="46" borderId="0" xfId="0" applyFont="1" applyFill="1" applyBorder="1"/>
    <xf numFmtId="169" fontId="13" fillId="46" borderId="0" xfId="0" applyFont="1" applyFill="1" applyBorder="1"/>
    <xf numFmtId="169" fontId="13" fillId="46" borderId="0" xfId="0" applyFont="1" applyFill="1" applyBorder="1" applyAlignment="1">
      <alignment horizontal="center"/>
    </xf>
    <xf numFmtId="169" fontId="14" fillId="46" borderId="0" xfId="0" applyFont="1" applyFill="1" applyBorder="1"/>
    <xf numFmtId="169" fontId="15" fillId="46" borderId="0" xfId="0" applyFont="1" applyFill="1" applyBorder="1"/>
    <xf numFmtId="169" fontId="15" fillId="46" borderId="0" xfId="0" applyFont="1" applyFill="1" applyBorder="1" applyAlignment="1">
      <alignment horizontal="center"/>
    </xf>
    <xf numFmtId="169" fontId="15" fillId="46" borderId="0" xfId="0" applyFont="1" applyFill="1" applyBorder="1" applyAlignment="1">
      <alignment horizontal="right"/>
    </xf>
    <xf numFmtId="169" fontId="38" fillId="46" borderId="0" xfId="0" applyFont="1" applyFill="1" applyBorder="1" applyAlignment="1"/>
    <xf numFmtId="173" fontId="15" fillId="46" borderId="0" xfId="4" applyFont="1" applyFill="1" applyBorder="1">
      <alignment horizontal="center"/>
    </xf>
    <xf numFmtId="173" fontId="15" fillId="46" borderId="0" xfId="4" applyFont="1" applyFill="1" applyBorder="1" applyAlignment="1">
      <alignment horizontal="right"/>
    </xf>
    <xf numFmtId="169" fontId="16" fillId="46" borderId="0" xfId="0" applyFont="1" applyFill="1" applyBorder="1" applyAlignment="1"/>
    <xf numFmtId="169" fontId="6" fillId="46" borderId="0" xfId="0" applyFont="1" applyFill="1" applyBorder="1"/>
    <xf numFmtId="169" fontId="40" fillId="46" borderId="0" xfId="0" applyFont="1" applyFill="1" applyBorder="1" applyAlignment="1">
      <alignment horizontal="right"/>
    </xf>
    <xf numFmtId="177" fontId="15" fillId="46" borderId="0" xfId="0" applyNumberFormat="1" applyFont="1" applyFill="1" applyBorder="1" applyAlignment="1">
      <alignment horizontal="right"/>
    </xf>
    <xf numFmtId="169" fontId="15" fillId="46" borderId="0" xfId="0" applyFont="1" applyFill="1" applyBorder="1" applyAlignment="1">
      <alignment horizontal="center" vertical="center"/>
    </xf>
    <xf numFmtId="169" fontId="36" fillId="46" borderId="12" xfId="0" applyFont="1" applyFill="1" applyBorder="1" applyAlignment="1">
      <alignment vertical="center"/>
    </xf>
    <xf numFmtId="169" fontId="13" fillId="46" borderId="12" xfId="0" applyFont="1" applyFill="1" applyBorder="1" applyAlignment="1">
      <alignment vertical="center"/>
    </xf>
    <xf numFmtId="169" fontId="13" fillId="46" borderId="12" xfId="0" applyFont="1" applyFill="1" applyBorder="1" applyAlignment="1">
      <alignment horizontal="center" vertical="center"/>
    </xf>
    <xf numFmtId="169" fontId="13" fillId="46" borderId="12" xfId="0" applyFont="1" applyFill="1" applyBorder="1" applyAlignment="1">
      <alignment horizontal="left" vertical="center"/>
    </xf>
    <xf numFmtId="169" fontId="37" fillId="46" borderId="0" xfId="0" applyFont="1" applyFill="1" applyBorder="1" applyAlignment="1">
      <alignment vertical="center"/>
    </xf>
    <xf numFmtId="169" fontId="13" fillId="46" borderId="0" xfId="0" applyFont="1" applyFill="1" applyBorder="1" applyAlignment="1">
      <alignment vertical="center"/>
    </xf>
    <xf numFmtId="169" fontId="13" fillId="46" borderId="0" xfId="0" applyFont="1" applyFill="1" applyBorder="1" applyAlignment="1">
      <alignment horizontal="center" vertical="center"/>
    </xf>
    <xf numFmtId="169" fontId="13" fillId="46" borderId="0" xfId="0" applyFont="1" applyFill="1" applyBorder="1" applyAlignment="1">
      <alignment horizontal="left" vertical="center"/>
    </xf>
    <xf numFmtId="169" fontId="40" fillId="46" borderId="0" xfId="0" applyFont="1" applyFill="1" applyBorder="1" applyAlignment="1">
      <alignment horizontal="left" vertical="center"/>
    </xf>
    <xf numFmtId="169" fontId="14" fillId="46" borderId="0" xfId="0" applyFont="1" applyFill="1" applyBorder="1" applyAlignment="1">
      <alignment vertical="center"/>
    </xf>
    <xf numFmtId="169" fontId="15" fillId="46" borderId="0" xfId="0" applyFont="1" applyFill="1" applyBorder="1" applyAlignment="1">
      <alignment vertical="center"/>
    </xf>
    <xf numFmtId="169" fontId="15" fillId="46" borderId="0" xfId="0" applyFont="1" applyFill="1" applyBorder="1" applyAlignment="1">
      <alignment horizontal="left" vertical="center"/>
    </xf>
    <xf numFmtId="177" fontId="15" fillId="46" borderId="0" xfId="0" applyNumberFormat="1" applyFont="1" applyFill="1" applyBorder="1" applyAlignment="1">
      <alignment horizontal="left" vertical="center"/>
    </xf>
    <xf numFmtId="169" fontId="6" fillId="46" borderId="0" xfId="0" applyFont="1" applyFill="1" applyBorder="1" applyAlignment="1">
      <alignment vertical="center"/>
    </xf>
    <xf numFmtId="169" fontId="6" fillId="0" borderId="0" xfId="0" applyFont="1" applyFill="1" applyBorder="1" applyAlignment="1">
      <alignment vertical="center"/>
    </xf>
    <xf numFmtId="169" fontId="4" fillId="0" borderId="0" xfId="0" applyFont="1" applyFill="1" applyBorder="1" applyAlignment="1">
      <alignment vertical="center"/>
    </xf>
    <xf numFmtId="169" fontId="4" fillId="0" borderId="0" xfId="0" applyFont="1" applyFill="1" applyBorder="1" applyAlignment="1">
      <alignment horizontal="center" vertical="center"/>
    </xf>
    <xf numFmtId="169" fontId="4" fillId="0" borderId="0" xfId="0" applyFont="1" applyFill="1" applyBorder="1" applyAlignment="1">
      <alignment horizontal="left" vertical="center"/>
    </xf>
    <xf numFmtId="168" fontId="10" fillId="43" borderId="13" xfId="6" applyAlignment="1">
      <alignment vertical="center"/>
    </xf>
    <xf numFmtId="169" fontId="4" fillId="4" borderId="0" xfId="1" applyNumberFormat="1" applyFont="1" applyBorder="1" applyAlignment="1">
      <alignment vertical="center"/>
    </xf>
    <xf numFmtId="169" fontId="15" fillId="46" borderId="0" xfId="0" applyFont="1" applyFill="1" applyBorder="1" applyAlignment="1">
      <alignment horizontal="centerContinuous" vertical="center"/>
    </xf>
    <xf numFmtId="169" fontId="4" fillId="4" borderId="0" xfId="1" applyNumberFormat="1" applyFont="1" applyBorder="1" applyAlignment="1">
      <alignment horizontal="left" vertical="center"/>
    </xf>
    <xf numFmtId="175" fontId="8" fillId="42" borderId="14" xfId="72" applyAlignment="1">
      <alignment horizontal="center" vertical="center"/>
    </xf>
    <xf numFmtId="166" fontId="5" fillId="42" borderId="14" xfId="3" applyFill="1" applyBorder="1" applyAlignment="1">
      <alignment horizontal="center" vertical="center"/>
    </xf>
    <xf numFmtId="169" fontId="9" fillId="5" borderId="15" xfId="22" applyAlignment="1">
      <alignment horizontal="left" vertical="center"/>
      <protection locked="0"/>
    </xf>
    <xf numFmtId="169" fontId="34" fillId="5" borderId="15" xfId="119" applyFill="1" applyBorder="1" applyAlignment="1" applyProtection="1">
      <alignment horizontal="left" vertical="center"/>
      <protection locked="0"/>
    </xf>
    <xf numFmtId="0" fontId="9" fillId="5" borderId="15" xfId="22" applyNumberFormat="1" applyAlignment="1">
      <alignment horizontal="left" vertical="center"/>
      <protection locked="0"/>
    </xf>
    <xf numFmtId="169" fontId="9" fillId="5" borderId="15" xfId="22" applyAlignment="1">
      <alignment vertical="center"/>
      <protection locked="0"/>
    </xf>
    <xf numFmtId="169" fontId="34" fillId="5" borderId="15" xfId="119" applyFill="1" applyBorder="1" applyAlignment="1" applyProtection="1">
      <alignment vertical="center"/>
      <protection locked="0"/>
    </xf>
    <xf numFmtId="173" fontId="9" fillId="5" borderId="15" xfId="9" applyAlignment="1">
      <alignment horizontal="center" vertical="center"/>
      <protection locked="0"/>
    </xf>
    <xf numFmtId="169" fontId="12" fillId="0" borderId="0" xfId="8" applyFill="1" applyBorder="1" applyAlignment="1">
      <alignment vertical="center"/>
    </xf>
    <xf numFmtId="0" fontId="9" fillId="5" borderId="15" xfId="22" quotePrefix="1" applyNumberFormat="1" applyAlignment="1">
      <alignment horizontal="left" vertical="center"/>
      <protection locked="0"/>
    </xf>
    <xf numFmtId="169" fontId="0" fillId="0" borderId="0" xfId="0" applyAlignment="1">
      <alignment vertical="center"/>
    </xf>
    <xf numFmtId="169" fontId="6" fillId="0" borderId="0" xfId="0" applyFont="1" applyAlignment="1">
      <alignment vertical="center"/>
    </xf>
    <xf numFmtId="169" fontId="0" fillId="4" borderId="0" xfId="1" applyNumberFormat="1" applyFont="1" applyAlignment="1">
      <alignment vertical="center"/>
    </xf>
    <xf numFmtId="169" fontId="0" fillId="4" borderId="0" xfId="1" applyNumberFormat="1" applyFont="1" applyAlignment="1">
      <alignment horizontal="left" vertical="center"/>
    </xf>
    <xf numFmtId="169" fontId="9" fillId="5" borderId="15" xfId="22" applyAlignment="1">
      <alignment horizontal="center" vertical="center"/>
      <protection locked="0"/>
    </xf>
    <xf numFmtId="169" fontId="41" fillId="4" borderId="0" xfId="113" applyAlignment="1">
      <alignment vertical="center"/>
      <protection locked="0"/>
    </xf>
    <xf numFmtId="169" fontId="44" fillId="4" borderId="0" xfId="113" applyFont="1" applyAlignment="1">
      <alignment horizontal="left" vertical="center"/>
      <protection locked="0"/>
    </xf>
    <xf numFmtId="169" fontId="44" fillId="4" borderId="0" xfId="113" applyFont="1" applyAlignment="1">
      <alignment vertical="center"/>
      <protection locked="0"/>
    </xf>
    <xf numFmtId="169" fontId="40" fillId="45" borderId="0" xfId="0" applyFont="1" applyFill="1" applyBorder="1" applyAlignment="1">
      <alignment vertical="center"/>
    </xf>
    <xf numFmtId="169" fontId="39" fillId="45" borderId="0" xfId="0" applyFont="1" applyFill="1" applyBorder="1" applyAlignment="1">
      <alignment vertical="center"/>
    </xf>
    <xf numFmtId="169" fontId="39" fillId="45" borderId="0" xfId="0" applyFont="1" applyFill="1" applyBorder="1" applyAlignment="1">
      <alignment horizontal="center" vertical="center"/>
    </xf>
    <xf numFmtId="169" fontId="39" fillId="45" borderId="0" xfId="0" applyFont="1" applyFill="1" applyBorder="1" applyAlignment="1">
      <alignment horizontal="left" vertical="center"/>
    </xf>
    <xf numFmtId="169" fontId="4" fillId="0" borderId="0" xfId="0" applyFont="1" applyFill="1" applyBorder="1" applyAlignment="1">
      <alignment horizontal="left"/>
    </xf>
    <xf numFmtId="169" fontId="4" fillId="0" borderId="0" xfId="0" applyFont="1" applyFill="1" applyBorder="1" applyAlignment="1"/>
    <xf numFmtId="169" fontId="0" fillId="0" borderId="0" xfId="0" applyFill="1" applyBorder="1" applyAlignment="1"/>
    <xf numFmtId="169" fontId="4" fillId="0" borderId="16" xfId="0" applyFont="1" applyFill="1" applyBorder="1" applyAlignment="1"/>
    <xf numFmtId="169" fontId="45" fillId="47" borderId="0" xfId="0" applyFont="1" applyFill="1" applyBorder="1" applyAlignment="1">
      <alignment horizontal="left" vertical="center" wrapText="1"/>
    </xf>
    <xf numFmtId="169" fontId="45" fillId="47" borderId="0" xfId="0" applyFont="1" applyFill="1" applyBorder="1" applyAlignment="1">
      <alignment horizontal="center" vertical="center" wrapText="1"/>
    </xf>
    <xf numFmtId="169" fontId="0" fillId="0" borderId="0" xfId="0" applyAlignment="1">
      <alignment horizontal="center"/>
    </xf>
    <xf numFmtId="169" fontId="4" fillId="0" borderId="16" xfId="0" applyFont="1" applyFill="1" applyBorder="1" applyAlignment="1">
      <alignment horizontal="center"/>
    </xf>
    <xf numFmtId="169" fontId="6" fillId="0" borderId="0" xfId="0" applyFont="1" applyFill="1" applyBorder="1" applyAlignment="1">
      <alignment horizontal="left" vertical="center"/>
    </xf>
    <xf numFmtId="175" fontId="8" fillId="42" borderId="14" xfId="72" applyAlignment="1">
      <alignment horizontal="left" vertical="center"/>
    </xf>
    <xf numFmtId="169" fontId="0" fillId="0" borderId="0" xfId="0" applyFill="1" applyBorder="1" applyAlignment="1">
      <alignment horizontal="center" vertical="center"/>
    </xf>
    <xf numFmtId="169" fontId="0" fillId="0" borderId="0" xfId="0" applyFill="1" applyBorder="1" applyAlignment="1">
      <alignment vertical="center"/>
    </xf>
    <xf numFmtId="169" fontId="0" fillId="0" borderId="0" xfId="0" applyFill="1" applyBorder="1" applyAlignment="1">
      <alignment horizontal="left" vertical="center"/>
    </xf>
    <xf numFmtId="168" fontId="10" fillId="43" borderId="13" xfId="6" applyAlignment="1">
      <alignment horizontal="center" vertical="center"/>
    </xf>
    <xf numFmtId="168" fontId="10" fillId="43" borderId="13" xfId="6" applyAlignment="1">
      <alignment horizontal="left" vertical="center"/>
    </xf>
    <xf numFmtId="169" fontId="0" fillId="4" borderId="0" xfId="1" applyNumberFormat="1" applyFont="1" applyBorder="1" applyAlignment="1">
      <alignment vertical="center"/>
    </xf>
    <xf numFmtId="169" fontId="0" fillId="4" borderId="0" xfId="1" applyNumberFormat="1" applyFont="1" applyBorder="1" applyAlignment="1">
      <alignment horizontal="left" vertical="center"/>
    </xf>
  </cellXfs>
  <cellStyles count="120">
    <cellStyle name="20% - Accent1" xfId="41" builtinId="30" hidden="1"/>
    <cellStyle name="20% - Accent2" xfId="45" builtinId="34" hidden="1"/>
    <cellStyle name="20% - Accent3" xfId="49" builtinId="38" hidden="1"/>
    <cellStyle name="20% - Accent4" xfId="53" builtinId="42" hidden="1"/>
    <cellStyle name="20% - Accent5" xfId="57" builtinId="46" hidden="1"/>
    <cellStyle name="20% - Accent6" xfId="61" builtinId="50" hidden="1"/>
    <cellStyle name="40% - Accent1" xfId="42" builtinId="31" hidden="1"/>
    <cellStyle name="40% - Accent2" xfId="46" builtinId="35" hidden="1"/>
    <cellStyle name="40% - Accent3" xfId="50" builtinId="39" hidden="1"/>
    <cellStyle name="40% - Accent4" xfId="54" builtinId="43" hidden="1"/>
    <cellStyle name="40% - Accent5" xfId="58" builtinId="47" hidden="1"/>
    <cellStyle name="40% - Accent6" xfId="62" builtinId="51" hidden="1"/>
    <cellStyle name="60% - Accent1" xfId="43" builtinId="32" hidden="1"/>
    <cellStyle name="60% - Accent2" xfId="47" builtinId="36" hidden="1"/>
    <cellStyle name="60% - Accent3" xfId="51" builtinId="40" hidden="1"/>
    <cellStyle name="60% - Accent4" xfId="55" builtinId="44" hidden="1"/>
    <cellStyle name="60% - Accent5" xfId="59" builtinId="48" hidden="1"/>
    <cellStyle name="60% - Accent6" xfId="63" builtinId="52" hidden="1"/>
    <cellStyle name="Accent1" xfId="40" builtinId="29" hidden="1"/>
    <cellStyle name="Accent2" xfId="44" builtinId="33" hidden="1"/>
    <cellStyle name="Accent3" xfId="48" builtinId="37" hidden="1"/>
    <cellStyle name="Accent4" xfId="52" builtinId="41" hidden="1"/>
    <cellStyle name="Accent5" xfId="56" builtinId="45" hidden="1"/>
    <cellStyle name="Accent6" xfId="60" builtinId="49" hidden="1"/>
    <cellStyle name="Bad" xfId="29" builtinId="27" hidden="1"/>
    <cellStyle name="Blocked" xfId="1" xr:uid="{00000000-0005-0000-0000-000012000000}"/>
    <cellStyle name="Blocked2" xfId="68" xr:uid="{00000000-0005-0000-0000-000013000000}"/>
    <cellStyle name="CalcOutput" xfId="72" xr:uid="{00000000-0005-0000-0000-000015000000}"/>
    <cellStyle name="Calculation" xfId="33" builtinId="22" hidden="1"/>
    <cellStyle name="Call Up Border" xfId="64" xr:uid="{00000000-0005-0000-0000-000017000000}"/>
    <cellStyle name="Call Up Border 2" xfId="114" xr:uid="{00000000-0005-0000-0000-000018000000}"/>
    <cellStyle name="CallUp" xfId="2" xr:uid="{00000000-0005-0000-0000-000019000000}"/>
    <cellStyle name="CallUp1" xfId="73" xr:uid="{00000000-0005-0000-0000-00001A000000}"/>
    <cellStyle name="Check" xfId="3" xr:uid="{00000000-0005-0000-0000-00001E000000}"/>
    <cellStyle name="Check Cell" xfId="35" builtinId="23" hidden="1"/>
    <cellStyle name="Comma" xfId="17" builtinId="3" hidden="1"/>
    <cellStyle name="Comma [0]" xfId="18" builtinId="6" hidden="1"/>
    <cellStyle name="Currency" xfId="19" builtinId="4" hidden="1"/>
    <cellStyle name="Currency [0]" xfId="20" builtinId="7" hidden="1"/>
    <cellStyle name="Date" xfId="4" xr:uid="{00000000-0005-0000-0000-00001F000000}"/>
    <cellStyle name="Deviant" xfId="5" xr:uid="{00000000-0005-0000-0000-000020000000}"/>
    <cellStyle name="Explanatory Text" xfId="38" builtinId="53" hidden="1"/>
    <cellStyle name="EYFlag" xfId="65" xr:uid="{00000000-0005-0000-0000-00002A000000}"/>
    <cellStyle name="Followed Hyperlink" xfId="77" builtinId="9" hidden="1"/>
    <cellStyle name="Followed Hyperlink" xfId="106" builtinId="9" hidden="1"/>
    <cellStyle name="Followed Hyperlink" xfId="93" builtinId="9" hidden="1"/>
    <cellStyle name="Followed Hyperlink" xfId="89" builtinId="9" hidden="1"/>
    <cellStyle name="Followed Hyperlink" xfId="107" builtinId="9" hidden="1"/>
    <cellStyle name="Followed Hyperlink" xfId="112" builtinId="9" hidden="1"/>
    <cellStyle name="Followed Hyperlink" xfId="97" builtinId="9" hidden="1"/>
    <cellStyle name="Followed Hyperlink" xfId="104" builtinId="9" hidden="1"/>
    <cellStyle name="Followed Hyperlink" xfId="110" builtinId="9" hidden="1"/>
    <cellStyle name="Followed Hyperlink" xfId="87" builtinId="9" hidden="1"/>
    <cellStyle name="Followed Hyperlink" xfId="95" builtinId="9" hidden="1"/>
    <cellStyle name="Followed Hyperlink" xfId="81" builtinId="9" hidden="1"/>
    <cellStyle name="Followed Hyperlink" xfId="85" builtinId="9" hidden="1"/>
    <cellStyle name="Followed Hyperlink" xfId="91" builtinId="9" hidden="1"/>
    <cellStyle name="Followed Hyperlink" xfId="70" builtinId="9" hidden="1"/>
    <cellStyle name="Followed Hyperlink" xfId="83" builtinId="9" hidden="1"/>
    <cellStyle name="Followed Hyperlink" xfId="75" builtinId="9" hidden="1"/>
    <cellStyle name="Followed Hyperlink" xfId="79" builtinId="9" hidden="1"/>
    <cellStyle name="Followed Hyperlink" xfId="67" builtinId="9" hidden="1"/>
    <cellStyle name="Followed Hyperlink" xfId="99" builtinId="9" hidden="1"/>
    <cellStyle name="Followed Hyperlink" xfId="102" builtinId="9" hidden="1"/>
    <cellStyle name="Good" xfId="28" builtinId="26" hidden="1"/>
    <cellStyle name="Header" xfId="71" xr:uid="{00000000-0005-0000-0000-00002B000000}"/>
    <cellStyle name="Header1" xfId="6" xr:uid="{00000000-0005-0000-0000-00002C000000}"/>
    <cellStyle name="Header2" xfId="7" xr:uid="{00000000-0005-0000-0000-00002D000000}"/>
    <cellStyle name="Header3" xfId="8" xr:uid="{00000000-0005-0000-0000-00002E000000}"/>
    <cellStyle name="Heading 1" xfId="24" builtinId="16" hidden="1"/>
    <cellStyle name="Heading 2" xfId="25" builtinId="17" hidden="1"/>
    <cellStyle name="Heading 3" xfId="26" builtinId="18" hidden="1"/>
    <cellStyle name="Heading 4" xfId="27" builtinId="19" hidden="1"/>
    <cellStyle name="Hyperlink" xfId="76" builtinId="8" hidden="1"/>
    <cellStyle name="Hyperlink" xfId="98" builtinId="8" hidden="1"/>
    <cellStyle name="Hyperlink" xfId="94" builtinId="8" hidden="1"/>
    <cellStyle name="Hyperlink" xfId="96" builtinId="8" hidden="1"/>
    <cellStyle name="Hyperlink" xfId="88" builtinId="8" hidden="1"/>
    <cellStyle name="Hyperlink" xfId="92" builtinId="8" hidden="1"/>
    <cellStyle name="Hyperlink" xfId="16" builtinId="8" hidden="1"/>
    <cellStyle name="Hyperlink" xfId="66" builtinId="8" hidden="1"/>
    <cellStyle name="Hyperlink" xfId="78" builtinId="8" hidden="1"/>
    <cellStyle name="Hyperlink" xfId="101" builtinId="8" hidden="1"/>
    <cellStyle name="Hyperlink" xfId="103" builtinId="8" hidden="1"/>
    <cellStyle name="Hyperlink" xfId="105" builtinId="8" hidden="1"/>
    <cellStyle name="Hyperlink" xfId="109" builtinId="8" hidden="1"/>
    <cellStyle name="Hyperlink" xfId="111" builtinId="8" hidden="1"/>
    <cellStyle name="Hyperlink" xfId="74" builtinId="8" hidden="1"/>
    <cellStyle name="Hyperlink" xfId="80" builtinId="8" hidden="1"/>
    <cellStyle name="Hyperlink" xfId="84" builtinId="8" hidden="1"/>
    <cellStyle name="Hyperlink" xfId="82" builtinId="8" hidden="1"/>
    <cellStyle name="Hyperlink" xfId="86" builtinId="8" hidden="1"/>
    <cellStyle name="Hyperlink" xfId="90" builtinId="8" hidden="1"/>
    <cellStyle name="Hyperlink" xfId="69" builtinId="8" hidden="1"/>
    <cellStyle name="Hyperlink" xfId="119" builtinId="8"/>
    <cellStyle name="Input" xfId="31" builtinId="20" hidden="1"/>
    <cellStyle name="InputDate" xfId="9" xr:uid="{00000000-0005-0000-0000-00005A000000}"/>
    <cellStyle name="InputValue" xfId="108" xr:uid="{00000000-0005-0000-0000-00005C000000}"/>
    <cellStyle name="Linked Cell" xfId="34" builtinId="24" hidden="1"/>
    <cellStyle name="Millares 2" xfId="116" xr:uid="{00000000-0005-0000-0000-00005F000000}"/>
    <cellStyle name="Neutral" xfId="30" builtinId="28" hidden="1"/>
    <cellStyle name="NewRows" xfId="113" xr:uid="{00000000-0005-0000-0000-000063000000}"/>
    <cellStyle name="Normal" xfId="0" builtinId="0" customBuiltin="1"/>
    <cellStyle name="Normal 2" xfId="117" xr:uid="{00000000-0005-0000-0000-000065000000}"/>
    <cellStyle name="Normal 3" xfId="115" xr:uid="{00000000-0005-0000-0000-000066000000}"/>
    <cellStyle name="Normal1" xfId="11" xr:uid="{00000000-0005-0000-0000-000068000000}"/>
    <cellStyle name="Note" xfId="37" builtinId="10" hidden="1"/>
    <cellStyle name="Output" xfId="32" builtinId="21" hidden="1"/>
    <cellStyle name="Percent" xfId="21" hidden="1" xr:uid="{00000000-0005-0000-0000-00006A000000}"/>
    <cellStyle name="Percentages" xfId="10" xr:uid="{00000000-0005-0000-0000-00006B000000}"/>
    <cellStyle name="PercentCapped" xfId="12" xr:uid="{00000000-0005-0000-0000-00006C000000}"/>
    <cellStyle name="SubTotal" xfId="13" xr:uid="{00000000-0005-0000-0000-00006F000000}"/>
    <cellStyle name="Title" xfId="23" builtinId="15" hidden="1"/>
    <cellStyle name="Total" xfId="39" builtinId="25" hidden="1"/>
    <cellStyle name="Total" xfId="14" xr:uid="{00000000-0005-0000-0000-000076000000}"/>
    <cellStyle name="Value" xfId="22" xr:uid="{00000000-0005-0000-0000-000077000000}"/>
    <cellStyle name="ValueComma" xfId="118" xr:uid="{00000000-0005-0000-0000-000078000000}"/>
    <cellStyle name="ValueNoComma" xfId="100" xr:uid="{00000000-0005-0000-0000-000079000000}"/>
    <cellStyle name="Warning Text" xfId="36" builtinId="11" hidden="1"/>
    <cellStyle name="WIP" xfId="15" xr:uid="{00000000-0005-0000-0000-00007A000000}"/>
  </cellStyles>
  <dxfs count="9">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colors>
    <mruColors>
      <color rgb="FF0066CC"/>
      <color rgb="FF1E344E"/>
      <color rgb="FF2F80F5"/>
      <color rgb="FF30A584"/>
      <color rgb="FFF60001"/>
      <color rgb="FF285071"/>
      <color rgb="FF1A629F"/>
      <color rgb="FF9B3467"/>
      <color rgb="FF2D2F54"/>
      <color rgb="FF523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FC-44A3-BD24-F023EBC0E6D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FC-44A3-BD24-F023EBC0E6D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FC-44A3-BD24-F023EBC0E6D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FC-44A3-BD24-F023EBC0E6D2}"/>
              </c:ext>
            </c:extLst>
          </c:dPt>
          <c:cat>
            <c:strRef>
              <c:f>Template!$D$18:$D$21</c:f>
              <c:strCache>
                <c:ptCount val="4"/>
                <c:pt idx="0">
                  <c:v>Distribución</c:v>
                </c:pt>
                <c:pt idx="1">
                  <c:v>Infraestructura</c:v>
                </c:pt>
                <c:pt idx="2">
                  <c:v>Logística</c:v>
                </c:pt>
                <c:pt idx="3">
                  <c:v>Manufactura</c:v>
                </c:pt>
              </c:strCache>
            </c:strRef>
          </c:cat>
          <c:val>
            <c:numRef>
              <c:f>Template!$E$18:$E$21</c:f>
              <c:numCache>
                <c:formatCode>#,##0_);[Red]\(#,##0\);\-\-_)</c:formatCode>
                <c:ptCount val="4"/>
                <c:pt idx="0">
                  <c:v>49</c:v>
                </c:pt>
                <c:pt idx="1">
                  <c:v>1</c:v>
                </c:pt>
                <c:pt idx="2">
                  <c:v>8</c:v>
                </c:pt>
                <c:pt idx="3">
                  <c:v>73</c:v>
                </c:pt>
              </c:numCache>
            </c:numRef>
          </c:val>
          <c:extLst>
            <c:ext xmlns:c16="http://schemas.microsoft.com/office/drawing/2014/chart" uri="{C3380CC4-5D6E-409C-BE32-E72D297353CC}">
              <c16:uniqueId val="{00000000-BC43-49D5-A693-599675F646B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asterCheck"/><Relationship Id="rId5" Type="http://schemas.openxmlformats.org/officeDocument/2006/relationships/image" Target="../media/image5.sv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899948</xdr:colOff>
      <xdr:row>16</xdr:row>
      <xdr:rowOff>44011</xdr:rowOff>
    </xdr:from>
    <xdr:to>
      <xdr:col>17</xdr:col>
      <xdr:colOff>321879</xdr:colOff>
      <xdr:row>30</xdr:row>
      <xdr:rowOff>80798</xdr:rowOff>
    </xdr:to>
    <xdr:graphicFrame macro="">
      <xdr:nvGraphicFramePr>
        <xdr:cNvPr id="2" name="Chart 1">
          <a:extLst>
            <a:ext uri="{FF2B5EF4-FFF2-40B4-BE49-F238E27FC236}">
              <a16:creationId xmlns:a16="http://schemas.microsoft.com/office/drawing/2014/main" id="{D7B502B0-86F3-F352-E847-F808933E84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7</xdr:row>
      <xdr:rowOff>0</xdr:rowOff>
    </xdr:from>
    <xdr:to>
      <xdr:col>2</xdr:col>
      <xdr:colOff>226512</xdr:colOff>
      <xdr:row>8</xdr:row>
      <xdr:rowOff>84666</xdr:rowOff>
    </xdr:to>
    <xdr:sp macro="" textlink="">
      <xdr:nvSpPr>
        <xdr:cNvPr id="2" name="ChecksButton">
          <a:hlinkClick xmlns:r="http://schemas.openxmlformats.org/officeDocument/2006/relationships" r:id="rId1" tooltip="Jump to Checks sheet"/>
          <a:extLst>
            <a:ext uri="{FF2B5EF4-FFF2-40B4-BE49-F238E27FC236}">
              <a16:creationId xmlns:a16="http://schemas.microsoft.com/office/drawing/2014/main" id="{E5ACBC05-76CB-4941-8BB0-92A502EAF7CE}"/>
            </a:ext>
          </a:extLst>
        </xdr:cNvPr>
        <xdr:cNvSpPr>
          <a:spLocks noChangeArrowheads="1"/>
        </xdr:cNvSpPr>
      </xdr:nvSpPr>
      <xdr:spPr bwMode="auto">
        <a:xfrm>
          <a:off x="268941" y="1322294"/>
          <a:ext cx="646733" cy="252754"/>
        </a:xfrm>
        <a:prstGeom prst="rect">
          <a:avLst/>
        </a:prstGeom>
        <a:solidFill>
          <a:srgbClr val="F0F0F0"/>
        </a:solidFill>
        <a:ln w="9525">
          <a:solidFill>
            <a:schemeClr val="accent1">
              <a:lumMod val="50000"/>
            </a:schemeClr>
          </a:solidFill>
          <a:miter lim="800000"/>
          <a:headEnd/>
          <a:tailEnd/>
        </a:ln>
        <a:effectLst>
          <a:glow rad="63500">
            <a:schemeClr val="accent1">
              <a:lumMod val="50000"/>
              <a:alpha val="40000"/>
            </a:schemeClr>
          </a:glow>
        </a:effectLst>
      </xdr:spPr>
      <xdr:txBody>
        <a:bodyPr vertOverflow="clip" wrap="square" lIns="27432" tIns="22860" rIns="27432" bIns="22860" anchor="ctr" upright="1"/>
        <a:lstStyle/>
        <a:p>
          <a:pPr algn="ctr" rtl="0">
            <a:defRPr sz="1000"/>
          </a:pPr>
          <a:r>
            <a:rPr lang="en-GB" sz="1100" b="1" i="0" u="none" strike="noStrike" baseline="0">
              <a:solidFill>
                <a:schemeClr val="accent1">
                  <a:lumMod val="50000"/>
                </a:schemeClr>
              </a:solidFill>
              <a:latin typeface="Arial"/>
              <a:cs typeface="Arial"/>
            </a:rPr>
            <a:t>Checks</a:t>
          </a:r>
        </a:p>
      </xdr:txBody>
    </xdr:sp>
    <xdr:clientData/>
  </xdr:twoCellAnchor>
  <xdr:twoCellAnchor editAs="oneCell">
    <xdr:from>
      <xdr:col>1</xdr:col>
      <xdr:colOff>50800</xdr:colOff>
      <xdr:row>16</xdr:row>
      <xdr:rowOff>91440</xdr:rowOff>
    </xdr:from>
    <xdr:to>
      <xdr:col>5</xdr:col>
      <xdr:colOff>40640</xdr:colOff>
      <xdr:row>20</xdr:row>
      <xdr:rowOff>9189</xdr:rowOff>
    </xdr:to>
    <xdr:pic>
      <xdr:nvPicPr>
        <xdr:cNvPr id="3" name="Gráfico 33">
          <a:extLst>
            <a:ext uri="{FF2B5EF4-FFF2-40B4-BE49-F238E27FC236}">
              <a16:creationId xmlns:a16="http://schemas.microsoft.com/office/drawing/2014/main" id="{9B35F007-E936-1AB0-151D-708EA738295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35280" y="2824480"/>
          <a:ext cx="2377440" cy="567989"/>
        </a:xfrm>
        <a:prstGeom prst="rect">
          <a:avLst/>
        </a:prstGeom>
      </xdr:spPr>
    </xdr:pic>
    <xdr:clientData/>
  </xdr:twoCellAnchor>
  <xdr:twoCellAnchor editAs="oneCell">
    <xdr:from>
      <xdr:col>1</xdr:col>
      <xdr:colOff>30480</xdr:colOff>
      <xdr:row>23</xdr:row>
      <xdr:rowOff>155578</xdr:rowOff>
    </xdr:from>
    <xdr:to>
      <xdr:col>5</xdr:col>
      <xdr:colOff>386080</xdr:colOff>
      <xdr:row>28</xdr:row>
      <xdr:rowOff>15234</xdr:rowOff>
    </xdr:to>
    <xdr:pic>
      <xdr:nvPicPr>
        <xdr:cNvPr id="7" name="Gráfico 32">
          <a:extLst>
            <a:ext uri="{FF2B5EF4-FFF2-40B4-BE49-F238E27FC236}">
              <a16:creationId xmlns:a16="http://schemas.microsoft.com/office/drawing/2014/main" id="{433EAC06-DA2A-ABD9-72D7-4FFEB522FD1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14960" y="4046858"/>
          <a:ext cx="2743200" cy="672456"/>
        </a:xfrm>
        <a:prstGeom prst="rect">
          <a:avLst/>
        </a:prstGeom>
      </xdr:spPr>
    </xdr:pic>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Banded">
  <a:themeElements>
    <a:clrScheme name="Banded">
      <a:dk1>
        <a:srgbClr val="2C2C2C"/>
      </a:dk1>
      <a:lt1>
        <a:srgbClr val="FFFFFF"/>
      </a:lt1>
      <a:dk2>
        <a:srgbClr val="099BDD"/>
      </a:dk2>
      <a:lt2>
        <a:srgbClr val="F2F2F2"/>
      </a:lt2>
      <a:accent1>
        <a:srgbClr val="FFC000"/>
      </a:accent1>
      <a:accent2>
        <a:srgbClr val="A5D028"/>
      </a:accent2>
      <a:accent3>
        <a:srgbClr val="08CC78"/>
      </a:accent3>
      <a:accent4>
        <a:srgbClr val="F24099"/>
      </a:accent4>
      <a:accent5>
        <a:srgbClr val="828288"/>
      </a:accent5>
      <a:accent6>
        <a:srgbClr val="F56617"/>
      </a:accent6>
      <a:hlink>
        <a:srgbClr val="005DBA"/>
      </a:hlink>
      <a:folHlink>
        <a:srgbClr val="6C606A"/>
      </a:folHlink>
    </a:clrScheme>
    <a:fontScheme name="Banded">
      <a:maj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Banded">
      <a:fillStyleLst>
        <a:solidFill>
          <a:schemeClr val="phClr"/>
        </a:solidFill>
        <a:gradFill rotWithShape="1">
          <a:gsLst>
            <a:gs pos="0">
              <a:schemeClr val="phClr">
                <a:tint val="65000"/>
                <a:satMod val="120000"/>
                <a:lumMod val="107000"/>
              </a:schemeClr>
            </a:gs>
            <a:gs pos="50000">
              <a:schemeClr val="phClr">
                <a:tint val="70000"/>
                <a:satMod val="124000"/>
                <a:lumMod val="103000"/>
              </a:schemeClr>
            </a:gs>
            <a:gs pos="100000">
              <a:schemeClr val="phClr">
                <a:tint val="85000"/>
                <a:satMod val="120000"/>
                <a:lumMod val="100000"/>
              </a:schemeClr>
            </a:gs>
          </a:gsLst>
          <a:lin ang="5400000" scaled="0"/>
        </a:gradFill>
        <a:gradFill rotWithShape="1">
          <a:gsLst>
            <a:gs pos="0">
              <a:schemeClr val="phClr">
                <a:tint val="85000"/>
                <a:shade val="98000"/>
                <a:satMod val="110000"/>
                <a:lumMod val="103000"/>
              </a:schemeClr>
            </a:gs>
            <a:gs pos="50000">
              <a:schemeClr val="phClr">
                <a:shade val="85000"/>
                <a:satMod val="105000"/>
                <a:lumMod val="100000"/>
              </a:schemeClr>
            </a:gs>
            <a:gs pos="100000">
              <a:schemeClr val="phClr">
                <a:shade val="60000"/>
                <a:satMod val="12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15875" dir="5400000" algn="ctr" rotWithShape="0">
              <a:srgbClr val="000000">
                <a:alpha val="68000"/>
              </a:srgbClr>
            </a:outerShdw>
          </a:effectLst>
        </a:effectStyle>
        <a:effectStyle>
          <a:effectLst>
            <a:outerShdw blurRad="88900" dist="27940" dir="5400000" algn="ctr" rotWithShape="0">
              <a:srgbClr val="000000">
                <a:alpha val="63000"/>
              </a:srgbClr>
            </a:outerShdw>
          </a:effectLst>
        </a:effectStyle>
      </a:effectStyleLst>
      <a:bgFillStyleLst>
        <a:solidFill>
          <a:schemeClr val="phClr"/>
        </a:solidFill>
        <a:blipFill rotWithShape="1">
          <a:blip xmlns:r="http://schemas.openxmlformats.org/officeDocument/2006/relationships" r:embed="rId1">
            <a:duotone>
              <a:schemeClr val="phClr"/>
              <a:schemeClr val="phClr">
                <a:shade val="91000"/>
                <a:satMod val="105000"/>
              </a:schemeClr>
            </a:duotone>
          </a:blip>
          <a:tile tx="0" ty="0" sx="100000" sy="100000" flip="none" algn="tl"/>
        </a:blipFill>
        <a:gradFill rotWithShape="1">
          <a:gsLst>
            <a:gs pos="0">
              <a:schemeClr val="phClr">
                <a:tint val="100000"/>
                <a:shade val="0"/>
                <a:satMod val="100000"/>
              </a:schemeClr>
            </a:gs>
            <a:gs pos="100000">
              <a:schemeClr val="phClr">
                <a:shade val="10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Banded" id="{98DFF888-2449-4D28-977C-6306C017633E}" vid="{9792607F-9579-4224-82FF-9C88C3E1E53D}"/>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linkedin.com/in/carlos-saucedo-vizcarra-b4a02243/" TargetMode="External"/><Relationship Id="rId21" Type="http://schemas.openxmlformats.org/officeDocument/2006/relationships/hyperlink" Target="https://panelw.com/" TargetMode="External"/><Relationship Id="rId42" Type="http://schemas.openxmlformats.org/officeDocument/2006/relationships/hyperlink" Target="https://www.tornillosespecializados.com/" TargetMode="External"/><Relationship Id="rId63" Type="http://schemas.openxmlformats.org/officeDocument/2006/relationships/hyperlink" Target="https://www.linkedin.com/in/c%C3%A9sar-g%C3%B3mez-81a1582b/" TargetMode="External"/><Relationship Id="rId84" Type="http://schemas.openxmlformats.org/officeDocument/2006/relationships/hyperlink" Target="https://www.linkedin.com/in/wisillo/" TargetMode="External"/><Relationship Id="rId138" Type="http://schemas.openxmlformats.org/officeDocument/2006/relationships/hyperlink" Target="https://www.envasesval.mx/" TargetMode="External"/><Relationship Id="rId159" Type="http://schemas.openxmlformats.org/officeDocument/2006/relationships/hyperlink" Target="mailto:administracion@divisionesycorrugados.com.mx" TargetMode="External"/><Relationship Id="rId170" Type="http://schemas.openxmlformats.org/officeDocument/2006/relationships/hyperlink" Target="mailto:ventas1_tmc@hotmail.com" TargetMode="External"/><Relationship Id="rId107" Type="http://schemas.openxmlformats.org/officeDocument/2006/relationships/hyperlink" Target="https://ipisa.miadn.mx/" TargetMode="External"/><Relationship Id="rId11" Type="http://schemas.openxmlformats.org/officeDocument/2006/relationships/hyperlink" Target="mailto:suelas@suelas-italia.com" TargetMode="External"/><Relationship Id="rId32" Type="http://schemas.openxmlformats.org/officeDocument/2006/relationships/hyperlink" Target="https://www.pepitorias.com.mx/" TargetMode="External"/><Relationship Id="rId53" Type="http://schemas.openxmlformats.org/officeDocument/2006/relationships/hyperlink" Target="https://www.linkedin.com/in/jose-luis-boschetti-a835aa22/" TargetMode="External"/><Relationship Id="rId74" Type="http://schemas.openxmlformats.org/officeDocument/2006/relationships/hyperlink" Target="https://jrpaqueteria.mx/" TargetMode="External"/><Relationship Id="rId128" Type="http://schemas.openxmlformats.org/officeDocument/2006/relationships/hyperlink" Target="https://www.silkyindustrial.com.mx/" TargetMode="External"/><Relationship Id="rId149" Type="http://schemas.openxmlformats.org/officeDocument/2006/relationships/hyperlink" Target="mailto:andres.errejon@tya.com.mx" TargetMode="External"/><Relationship Id="rId5" Type="http://schemas.openxmlformats.org/officeDocument/2006/relationships/hyperlink" Target="https://suelas-italia.com/" TargetMode="External"/><Relationship Id="rId95" Type="http://schemas.openxmlformats.org/officeDocument/2006/relationships/hyperlink" Target="https://www.linkedin.com/company/dimeo-apparel-group/" TargetMode="External"/><Relationship Id="rId160" Type="http://schemas.openxmlformats.org/officeDocument/2006/relationships/hyperlink" Target="mailto:multiempak@yahoo.com.mx" TargetMode="External"/><Relationship Id="rId181" Type="http://schemas.openxmlformats.org/officeDocument/2006/relationships/hyperlink" Target="mailto:marthaosuna62@hotmail.com" TargetMode="External"/><Relationship Id="rId22" Type="http://schemas.openxmlformats.org/officeDocument/2006/relationships/hyperlink" Target="https://www.google.com/search?q=mederilab+numero&amp;oq=mederilab+numero&amp;gs_lcrp=EgZjaHJvbWUyBggAEEUYOTIHCAEQIRigATIHCAIQIRigAdIBCDMyNTJqMGo0qAIDsAIB8QVa6-THZx-XSfEFWuvkx2cfl0k&amp;sourceid=chrome&amp;source=chrome.ob&amp;ie=UTF-8" TargetMode="External"/><Relationship Id="rId43" Type="http://schemas.openxmlformats.org/officeDocument/2006/relationships/hyperlink" Target="https://www.torninox.com/" TargetMode="External"/><Relationship Id="rId64" Type="http://schemas.openxmlformats.org/officeDocument/2006/relationships/hyperlink" Target="mailto:christian@borse.com.mx" TargetMode="External"/><Relationship Id="rId118" Type="http://schemas.openxmlformats.org/officeDocument/2006/relationships/hyperlink" Target="https://indpack-jalisco.miadn.mx/" TargetMode="External"/><Relationship Id="rId139" Type="http://schemas.openxmlformats.org/officeDocument/2006/relationships/hyperlink" Target="mailto:jaimelclaudia@hotmail.com" TargetMode="External"/><Relationship Id="rId85" Type="http://schemas.openxmlformats.org/officeDocument/2006/relationships/hyperlink" Target="https://liderplast.com/" TargetMode="External"/><Relationship Id="rId150" Type="http://schemas.openxmlformats.org/officeDocument/2006/relationships/hyperlink" Target="https://www.kadled.mx/" TargetMode="External"/><Relationship Id="rId171" Type="http://schemas.openxmlformats.org/officeDocument/2006/relationships/hyperlink" Target="mailto:plasticossantalucia.1297@gmail.com" TargetMode="External"/><Relationship Id="rId12" Type="http://schemas.openxmlformats.org/officeDocument/2006/relationships/hyperlink" Target="https://cartoimagen.com.mx/" TargetMode="External"/><Relationship Id="rId33" Type="http://schemas.openxmlformats.org/officeDocument/2006/relationships/hyperlink" Target="https://pmstamping.com/" TargetMode="External"/><Relationship Id="rId108" Type="http://schemas.openxmlformats.org/officeDocument/2006/relationships/hyperlink" Target="https://veen.com.mx/" TargetMode="External"/><Relationship Id="rId129" Type="http://schemas.openxmlformats.org/officeDocument/2006/relationships/hyperlink" Target="https://www.ventadetornillosytuercasgdl.com/" TargetMode="External"/><Relationship Id="rId54" Type="http://schemas.openxmlformats.org/officeDocument/2006/relationships/hyperlink" Target="mailto:alarios@multiplastic.com.mx" TargetMode="External"/><Relationship Id="rId75" Type="http://schemas.openxmlformats.org/officeDocument/2006/relationships/hyperlink" Target="https://raziio.com/" TargetMode="External"/><Relationship Id="rId96" Type="http://schemas.openxmlformats.org/officeDocument/2006/relationships/hyperlink" Target="https://ccagrupo.com/projects/acero-sueco-palme/" TargetMode="External"/><Relationship Id="rId140" Type="http://schemas.openxmlformats.org/officeDocument/2006/relationships/hyperlink" Target="https://www.linkedin.com/in/claudia-jaime-8bb16328/" TargetMode="External"/><Relationship Id="rId161" Type="http://schemas.openxmlformats.org/officeDocument/2006/relationships/hyperlink" Target="https://www.cartonmemultiempack.com/" TargetMode="External"/><Relationship Id="rId182" Type="http://schemas.openxmlformats.org/officeDocument/2006/relationships/hyperlink" Target="mailto:compras@almetindustrial.com" TargetMode="External"/><Relationship Id="rId6" Type="http://schemas.openxmlformats.org/officeDocument/2006/relationships/hyperlink" Target="https://www.mederilab.com/" TargetMode="External"/><Relationship Id="rId23" Type="http://schemas.openxmlformats.org/officeDocument/2006/relationships/hyperlink" Target="https://www.google.com/search?q=corporativo+mohema+numero&amp;sca_esv=d7a897ae2fa4bc83&amp;biw=1536&amp;bih=756&amp;sxsrf=APpeQnvTaDY-j4ABIVoli0mHGAlY5dfw9w%3A1783455277501&amp;ei=LV5NatSfHqSgur8Pp7fcoQE&amp;ved=0ahUKEwiU6qbSsMGVAxUkkO4BHacbNxQQ4dUDCBA&amp;uact=5&amp;oq=corporativo+mohema+numero&amp;gs_lp=Egxnd3Mtd2l6LXNlcnAiGWNvcnBvcmF0aXZvIG1vaGVtYSBudW1lcm8yBRAhGKABMgUQIRigAUjHHVAAWKAbcAB4AZABAJgBjwGgAdERqgEEMjEuNLgBA8gBAPgBAZgCGaACrhPCAg4QABiABBiKBRixAxiDAcICEBAuGIAEGIoFGEMYxwEY0QPCAggQABiABBixA8ICERAuGIAEGLEDGIMBGMcBGNEDwgIOEC4YgAQYsQMYxwEY0QPCAgUQLhiABMICExAuGIAEGIoFGEMYsQMYxwEY0QPCAgsQLhiDARixAxiABMICCxAAGIAEGLEDGIMBwgIFEAAYgATCAgsQLhiABBixAxiDAcICChAuGIAEGIoFGEPCAg4QLhiABBixAxjHARivAcICCBAuGIAEGLEDwgINEAAYgAQYigUYQxixA8ICDhAuGIAEGMcBGK8BGI4FwgILEC4YgAQYxwEYrwHCAgsQLhivARjHARiABMICAhAmwgIFEAAY7wXCAggQABiABBiiBMICBhAAGBYYHsICBBAhGBWYAwCSBwQxOS42oAf2qQKyBwQxOS42uAeuE8IHCDAuMS4yMS4zyAeTAYAIAQ&amp;sclient=gws-wiz-serp" TargetMode="External"/><Relationship Id="rId119" Type="http://schemas.openxmlformats.org/officeDocument/2006/relationships/hyperlink" Target="https://elreydeltornillo.com/" TargetMode="External"/><Relationship Id="rId44" Type="http://schemas.openxmlformats.org/officeDocument/2006/relationships/hyperlink" Target="https://www.linkedin.com/in/juan-brise%C3%B1o-29018336/" TargetMode="External"/><Relationship Id="rId65" Type="http://schemas.openxmlformats.org/officeDocument/2006/relationships/hyperlink" Target="https://www.linkedin.com/in/christian-winsnes-5b22744a/" TargetMode="External"/><Relationship Id="rId86" Type="http://schemas.openxmlformats.org/officeDocument/2006/relationships/hyperlink" Target="https://www.linkedin.com/company/liderplastmx/" TargetMode="External"/><Relationship Id="rId130" Type="http://schemas.openxmlformats.org/officeDocument/2006/relationships/hyperlink" Target="https://www.celofanfan.com.mx/" TargetMode="External"/><Relationship Id="rId151" Type="http://schemas.openxmlformats.org/officeDocument/2006/relationships/hyperlink" Target="mailto:luis.valdovinos@capafin.com" TargetMode="External"/><Relationship Id="rId172" Type="http://schemas.openxmlformats.org/officeDocument/2006/relationships/hyperlink" Target="mailto:direccion.medina@tornillosmedina.com" TargetMode="External"/><Relationship Id="rId13" Type="http://schemas.openxmlformats.org/officeDocument/2006/relationships/hyperlink" Target="mailto:victordelabrego@cartoimagen.com.mx" TargetMode="External"/><Relationship Id="rId18" Type="http://schemas.openxmlformats.org/officeDocument/2006/relationships/hyperlink" Target="https://mx.linkedin.com/in/fernando-maytorena-martinez-n-255226152" TargetMode="External"/><Relationship Id="rId39" Type="http://schemas.openxmlformats.org/officeDocument/2006/relationships/hyperlink" Target="https://tecniplastmexico.com/web/" TargetMode="External"/><Relationship Id="rId109" Type="http://schemas.openxmlformats.org/officeDocument/2006/relationships/hyperlink" Target="https://prakticaja.wixsite.com/website" TargetMode="External"/><Relationship Id="rId34" Type="http://schemas.openxmlformats.org/officeDocument/2006/relationships/hyperlink" Target="https://proankaalimentos.com/" TargetMode="External"/><Relationship Id="rId50" Type="http://schemas.openxmlformats.org/officeDocument/2006/relationships/hyperlink" Target="https://www.linkedin.com/company/grupo-rago/people/" TargetMode="External"/><Relationship Id="rId55" Type="http://schemas.openxmlformats.org/officeDocument/2006/relationships/hyperlink" Target="https://www.linkedin.com/in/alexislarios/" TargetMode="External"/><Relationship Id="rId76" Type="http://schemas.openxmlformats.org/officeDocument/2006/relationships/hyperlink" Target="https://www.linkedin.com/company/sigmapegamentos/people/" TargetMode="External"/><Relationship Id="rId97" Type="http://schemas.openxmlformats.org/officeDocument/2006/relationships/hyperlink" Target="https://pituche.com/?utm_source=google&amp;utm_medium=cpc&amp;utm_campaign=INPD-MAXPER&amp;utm_content=General-2&amp;gad_source=1&amp;gad_campaignid=21493642458&amp;gbraid=0AAAAADExx4S_1JJQ3bP9gp_BgAd5TsAEU&amp;gclid=CjwKCAjwpK3SBhASEiwAtV1SPNW-XrmBhVW4CDWlFBTsE2R7ExJb1MgzkqjH7or7icFuK5LcJU1miRoCnCkQAvD_BwE" TargetMode="External"/><Relationship Id="rId104" Type="http://schemas.openxmlformats.org/officeDocument/2006/relationships/hyperlink" Target="https://kosolar.mx/" TargetMode="External"/><Relationship Id="rId120" Type="http://schemas.openxmlformats.org/officeDocument/2006/relationships/hyperlink" Target="https://disenosdecarton.miadn.mx/" TargetMode="External"/><Relationship Id="rId125" Type="http://schemas.openxmlformats.org/officeDocument/2006/relationships/hyperlink" Target="https://www.boli-bolsas.com/" TargetMode="External"/><Relationship Id="rId141" Type="http://schemas.openxmlformats.org/officeDocument/2006/relationships/hyperlink" Target="https://www.botellasytapascristal.com.mx/" TargetMode="External"/><Relationship Id="rId146" Type="http://schemas.openxmlformats.org/officeDocument/2006/relationships/hyperlink" Target="mailto:info@tecniplastmexico.com" TargetMode="External"/><Relationship Id="rId167" Type="http://schemas.openxmlformats.org/officeDocument/2006/relationships/hyperlink" Target="mailto:ventas@silkypapel.com" TargetMode="External"/><Relationship Id="rId7" Type="http://schemas.openxmlformats.org/officeDocument/2006/relationships/hyperlink" Target="https://www.hotfrog.com.mx/company/1123369700560896" TargetMode="External"/><Relationship Id="rId71" Type="http://schemas.openxmlformats.org/officeDocument/2006/relationships/hyperlink" Target="https://www.google.com/search?q=Tuberias+Visa+de+Guadalajara&amp;sca_esv=f03d313a4cb8ca83&amp;sxsrf=APpeQns3Qtrd8ZnX5k5VJflIMwx8YvZl3Q%3A1783491858751&amp;ei=Eu1NapPDLYGup84PuOiTmAQ&amp;biw=1536&amp;bih=756&amp;ved=0ahUKEwiTlM31uMKVAxUB18kDHTj0BEMQ4dUDCBA&amp;uact=5&amp;oq=Tuberias+Visa+de+Guadalajara&amp;gs_lp=Egxnd3Mtd2l6LXNlcnAiHFR1YmVyaWFzIFZpc2EgZGUgR3VhZGFsYWphcmEyCxAuGK8BGMcBGIAEMgYQABgWGB4yBhAAGBYYHjICECYyCBAAGIAEGKIEMggQABiABBiiBDIIEAAYgAQYogQyCBAAGIkFGKIESPMDUABYAHAAeAGQAQCYAX6gAX6qAQMwLjG4AQPIAQD4AQL4AQGYAgGgApABmAMAkgcDMC4xoAetCbIHAzAuMbgHkAHCBwMzLTHIBw2ACAE&amp;sclient=gws-wiz-serp" TargetMode="External"/><Relationship Id="rId92" Type="http://schemas.openxmlformats.org/officeDocument/2006/relationships/hyperlink" Target="https://polimerostapatios.com/" TargetMode="External"/><Relationship Id="rId162" Type="http://schemas.openxmlformats.org/officeDocument/2006/relationships/hyperlink" Target="mailto:gmartinez@textilehouse.com.mx" TargetMode="External"/><Relationship Id="rId183" Type="http://schemas.openxmlformats.org/officeDocument/2006/relationships/hyperlink" Target="mailto:ventas.teposa99@gmail.com" TargetMode="External"/><Relationship Id="rId2" Type="http://schemas.openxmlformats.org/officeDocument/2006/relationships/hyperlink" Target="https://borse.com.mx/" TargetMode="External"/><Relationship Id="rId29" Type="http://schemas.openxmlformats.org/officeDocument/2006/relationships/hyperlink" Target="https://www.multiplastic.com.mx/" TargetMode="External"/><Relationship Id="rId24" Type="http://schemas.openxmlformats.org/officeDocument/2006/relationships/hyperlink" Target="tel:+523312561290" TargetMode="External"/><Relationship Id="rId40" Type="http://schemas.openxmlformats.org/officeDocument/2006/relationships/hyperlink" Target="http://tecnometal.org/es/index.html" TargetMode="External"/><Relationship Id="rId45" Type="http://schemas.openxmlformats.org/officeDocument/2006/relationships/hyperlink" Target="https://www.linkedin.com/in/dirdaroma/" TargetMode="External"/><Relationship Id="rId66" Type="http://schemas.openxmlformats.org/officeDocument/2006/relationships/hyperlink" Target="https://alamoaluminios.com/" TargetMode="External"/><Relationship Id="rId87" Type="http://schemas.openxmlformats.org/officeDocument/2006/relationships/hyperlink" Target="https://www.somoldi.com/" TargetMode="External"/><Relationship Id="rId110" Type="http://schemas.openxmlformats.org/officeDocument/2006/relationships/hyperlink" Target="https://www.linkedin.com/in/jos%C3%A9-del-bosque-709869aa/" TargetMode="External"/><Relationship Id="rId115" Type="http://schemas.openxmlformats.org/officeDocument/2006/relationships/hyperlink" Target="https://www.linkedin.com/company/clubice/?originalSubdomain=mx" TargetMode="External"/><Relationship Id="rId131" Type="http://schemas.openxmlformats.org/officeDocument/2006/relationships/hyperlink" Target="https://www.botellasguadalajara.com.mx/" TargetMode="External"/><Relationship Id="rId136" Type="http://schemas.openxmlformats.org/officeDocument/2006/relationships/hyperlink" Target="https://www.plasticoslasbrisas.com.mx/" TargetMode="External"/><Relationship Id="rId157" Type="http://schemas.openxmlformats.org/officeDocument/2006/relationships/hyperlink" Target="mailto:contacto@tornillosespecializados.com.mx" TargetMode="External"/><Relationship Id="rId178" Type="http://schemas.openxmlformats.org/officeDocument/2006/relationships/hyperlink" Target="mailto:luis.salcedo@superruedas.com.mx" TargetMode="External"/><Relationship Id="rId61" Type="http://schemas.openxmlformats.org/officeDocument/2006/relationships/hyperlink" Target="https://www.linkedin.com/in/diego-morales-672634123/" TargetMode="External"/><Relationship Id="rId82" Type="http://schemas.openxmlformats.org/officeDocument/2006/relationships/hyperlink" Target="https://mx.linkedin.com/in/giovanni-gaggero-733315103" TargetMode="External"/><Relationship Id="rId152" Type="http://schemas.openxmlformats.org/officeDocument/2006/relationships/hyperlink" Target="mailto:administracion@cei.mx" TargetMode="External"/><Relationship Id="rId173" Type="http://schemas.openxmlformats.org/officeDocument/2006/relationships/hyperlink" Target="mailto:contacto@clubice.com.mx" TargetMode="External"/><Relationship Id="rId19" Type="http://schemas.openxmlformats.org/officeDocument/2006/relationships/hyperlink" Target="https://www.google.com/search?q=Transportes+For%C3%A1neos+Gonz%C3%A1lez&amp;oq=Transportes+For%C3%A1neos+Gonz%C3%A1lez&amp;gs_lcrp=EgZjaHJvbWUyBggAEEUYOTIICAEQABgWGB4yCggCEAAYgAQYogQyBwgDEAAY7wUyCggEEAAYgAQYogTSAQc3MDBqMGo0qAIAsAIB&amp;sourceid=chrome&amp;source=chrome.ob&amp;ie=UTF-8" TargetMode="External"/><Relationship Id="rId14" Type="http://schemas.openxmlformats.org/officeDocument/2006/relationships/hyperlink" Target="https://www.linkedin.com/in/victor-del-abrego-9386a126/" TargetMode="External"/><Relationship Id="rId30" Type="http://schemas.openxmlformats.org/officeDocument/2006/relationships/hyperlink" Target="https://okkosuperfoods.com/" TargetMode="External"/><Relationship Id="rId35" Type="http://schemas.openxmlformats.org/officeDocument/2006/relationships/hyperlink" Target="https://productosavila.com/" TargetMode="External"/><Relationship Id="rId56" Type="http://schemas.openxmlformats.org/officeDocument/2006/relationships/hyperlink" Target="https://www.linkedin.com/in/oscar-alvidrez-7521a1192/" TargetMode="External"/><Relationship Id="rId77" Type="http://schemas.openxmlformats.org/officeDocument/2006/relationships/hyperlink" Target="https://mx.linkedin.com/in/diego-ram%C3%ADrez-castellanos" TargetMode="External"/><Relationship Id="rId100" Type="http://schemas.openxmlformats.org/officeDocument/2006/relationships/hyperlink" Target="https://www.linkedin.com/company/cepamosa-s-a-de-c-v/" TargetMode="External"/><Relationship Id="rId105" Type="http://schemas.openxmlformats.org/officeDocument/2006/relationships/hyperlink" Target="javascript:void(0)" TargetMode="External"/><Relationship Id="rId126" Type="http://schemas.openxmlformats.org/officeDocument/2006/relationships/hyperlink" Target="https://www.linkedin.com/in/tornillos-medina-a64555181/" TargetMode="External"/><Relationship Id="rId147" Type="http://schemas.openxmlformats.org/officeDocument/2006/relationships/hyperlink" Target="http://www.cepamosa.com/" TargetMode="External"/><Relationship Id="rId168" Type="http://schemas.openxmlformats.org/officeDocument/2006/relationships/hyperlink" Target="mailto:contacto@gdt.mx" TargetMode="External"/><Relationship Id="rId8" Type="http://schemas.openxmlformats.org/officeDocument/2006/relationships/hyperlink" Target="mailto:rlazaro@lazzarmexico.com" TargetMode="External"/><Relationship Id="rId51" Type="http://schemas.openxmlformats.org/officeDocument/2006/relationships/hyperlink" Target="https://www.linkedin.com/in/luis-perez-ru%C3%ADz-6152721b2/" TargetMode="External"/><Relationship Id="rId72" Type="http://schemas.openxmlformats.org/officeDocument/2006/relationships/hyperlink" Target="https://www.fletesdeoriente.com/" TargetMode="External"/><Relationship Id="rId93" Type="http://schemas.openxmlformats.org/officeDocument/2006/relationships/hyperlink" Target="https://www.linkedin.com/company/polimeros-tapat%C3%ADos/people/" TargetMode="External"/><Relationship Id="rId98" Type="http://schemas.openxmlformats.org/officeDocument/2006/relationships/hyperlink" Target="http://www.refmariogarcia.com/" TargetMode="External"/><Relationship Id="rId121" Type="http://schemas.openxmlformats.org/officeDocument/2006/relationships/hyperlink" Target="https://www.linkedin.com/company/el-rey-del-tornillo/" TargetMode="External"/><Relationship Id="rId142" Type="http://schemas.openxmlformats.org/officeDocument/2006/relationships/hyperlink" Target="mailto:jose.roji@pmstamping.com" TargetMode="External"/><Relationship Id="rId163" Type="http://schemas.openxmlformats.org/officeDocument/2006/relationships/hyperlink" Target="mailto:carlos.rosas@rm-m.com.mx" TargetMode="External"/><Relationship Id="rId184" Type="http://schemas.openxmlformats.org/officeDocument/2006/relationships/hyperlink" Target="mailto:carmenmartinez.uniformescarmen@gmail.com" TargetMode="External"/><Relationship Id="rId3" Type="http://schemas.openxmlformats.org/officeDocument/2006/relationships/hyperlink" Target="https://www.lazzarmexico.com/contacto/uniformes-guadalajara-jalisco/?utm_source=GMB&amp;utm_medium=profile&amp;utm_campaign=local_search" TargetMode="External"/><Relationship Id="rId25" Type="http://schemas.openxmlformats.org/officeDocument/2006/relationships/hyperlink" Target="https://packsystem.com.mx/" TargetMode="External"/><Relationship Id="rId46" Type="http://schemas.openxmlformats.org/officeDocument/2006/relationships/hyperlink" Target="https://www.linkedin.com/in/empropack-empaques-profesional-b114a2112/" TargetMode="External"/><Relationship Id="rId67" Type="http://schemas.openxmlformats.org/officeDocument/2006/relationships/hyperlink" Target="https://www.gfperisur.com.mx/" TargetMode="External"/><Relationship Id="rId116" Type="http://schemas.openxmlformats.org/officeDocument/2006/relationships/hyperlink" Target="https://ceo-mex.com/" TargetMode="External"/><Relationship Id="rId137" Type="http://schemas.openxmlformats.org/officeDocument/2006/relationships/hyperlink" Target="https://www.comercializadorareyso.com/" TargetMode="External"/><Relationship Id="rId158" Type="http://schemas.openxmlformats.org/officeDocument/2006/relationships/hyperlink" Target="mailto:oscar.esparza@montenegroeditores.net" TargetMode="External"/><Relationship Id="rId20" Type="http://schemas.openxmlformats.org/officeDocument/2006/relationships/hyperlink" Target="mailto:emiliohuber@hotmail.com" TargetMode="External"/><Relationship Id="rId41" Type="http://schemas.openxmlformats.org/officeDocument/2006/relationships/hyperlink" Target="https://teposa.com/" TargetMode="External"/><Relationship Id="rId62" Type="http://schemas.openxmlformats.org/officeDocument/2006/relationships/hyperlink" Target="https://mx.linkedin.com/in/edmundo-avi%C3%B1a-barragan-562b2745" TargetMode="External"/><Relationship Id="rId83" Type="http://schemas.openxmlformats.org/officeDocument/2006/relationships/hyperlink" Target="mailto:gerencia@fletesdeoriente.com" TargetMode="External"/><Relationship Id="rId88" Type="http://schemas.openxmlformats.org/officeDocument/2006/relationships/hyperlink" Target="https://www.linkedin.com/company/somoldi/" TargetMode="External"/><Relationship Id="rId111" Type="http://schemas.openxmlformats.org/officeDocument/2006/relationships/hyperlink" Target="https://copiroyalcapital.com/" TargetMode="External"/><Relationship Id="rId132" Type="http://schemas.openxmlformats.org/officeDocument/2006/relationships/hyperlink" Target="https://www.plasticos-santa-lucia.com/" TargetMode="External"/><Relationship Id="rId153" Type="http://schemas.openxmlformats.org/officeDocument/2006/relationships/hyperlink" Target="mailto:ebrambila@flavorscgv.com" TargetMode="External"/><Relationship Id="rId174" Type="http://schemas.openxmlformats.org/officeDocument/2006/relationships/hyperlink" Target="mailto:snuno@kosolar.com.mx" TargetMode="External"/><Relationship Id="rId179" Type="http://schemas.openxmlformats.org/officeDocument/2006/relationships/hyperlink" Target="mailto:sofia_rodriguez@imprimatur.com.mx" TargetMode="External"/><Relationship Id="rId15" Type="http://schemas.openxmlformats.org/officeDocument/2006/relationships/hyperlink" Target="https://www.linkedin.com/in/jesus-manuel-ram%C3%ADrez-b2667556/" TargetMode="External"/><Relationship Id="rId36" Type="http://schemas.openxmlformats.org/officeDocument/2006/relationships/hyperlink" Target="https://productosdonelias.com/site/" TargetMode="External"/><Relationship Id="rId57" Type="http://schemas.openxmlformats.org/officeDocument/2006/relationships/hyperlink" Target="mailto:fernandoacosta@pepitorias.com.mx" TargetMode="External"/><Relationship Id="rId106" Type="http://schemas.openxmlformats.org/officeDocument/2006/relationships/hyperlink" Target="https://www.tubin.com.mx/" TargetMode="External"/><Relationship Id="rId127" Type="http://schemas.openxmlformats.org/officeDocument/2006/relationships/hyperlink" Target="https://www.plasticossanisidro.com.mx/" TargetMode="External"/><Relationship Id="rId10" Type="http://schemas.openxmlformats.org/officeDocument/2006/relationships/hyperlink" Target="https://www.abarrotesabeja.com/" TargetMode="External"/><Relationship Id="rId31" Type="http://schemas.openxmlformats.org/officeDocument/2006/relationships/hyperlink" Target="https://www.google.com/search?q=OKKO+SUPER+FOODS+CONTACTO&amp;oq=OKKO+SUPER+FOODS+CONTACTO&amp;gs_lcrp=EgZjaHJvbWUyBggAEEUYOTIHCAEQIRigATIHCAIQIRigAdIBCDM1ODZqMGo0qAIDsAIB8QV0vNmvCvGjlg&amp;sourceid=chrome&amp;source=chrome.ob&amp;ie=UTF-8" TargetMode="External"/><Relationship Id="rId52" Type="http://schemas.openxmlformats.org/officeDocument/2006/relationships/hyperlink" Target="https://mx.linkedin.com/in/oscar-benavides-reyes-760593196" TargetMode="External"/><Relationship Id="rId73" Type="http://schemas.openxmlformats.org/officeDocument/2006/relationships/hyperlink" Target="https://groppeimprenta.com/" TargetMode="External"/><Relationship Id="rId78" Type="http://schemas.openxmlformats.org/officeDocument/2006/relationships/hyperlink" Target="https://www.superruedas.com.mx/index.php" TargetMode="External"/><Relationship Id="rId94" Type="http://schemas.openxmlformats.org/officeDocument/2006/relationships/hyperlink" Target="https://dimeo.mx/" TargetMode="External"/><Relationship Id="rId99" Type="http://schemas.openxmlformats.org/officeDocument/2006/relationships/hyperlink" Target="https://refa100.com/" TargetMode="External"/><Relationship Id="rId101" Type="http://schemas.openxmlformats.org/officeDocument/2006/relationships/hyperlink" Target="https://www.naturex.com.mx/" TargetMode="External"/><Relationship Id="rId122" Type="http://schemas.openxmlformats.org/officeDocument/2006/relationships/hyperlink" Target="https://maderasytarimasmadytar.miadn.mx/" TargetMode="External"/><Relationship Id="rId143" Type="http://schemas.openxmlformats.org/officeDocument/2006/relationships/hyperlink" Target="mailto:administracion@prodeyma.com" TargetMode="External"/><Relationship Id="rId148" Type="http://schemas.openxmlformats.org/officeDocument/2006/relationships/hyperlink" Target="https://www.forzac.com.mx/es/" TargetMode="External"/><Relationship Id="rId164" Type="http://schemas.openxmlformats.org/officeDocument/2006/relationships/hyperlink" Target="mailto:guadalajra@disenosdecarton.com" TargetMode="External"/><Relationship Id="rId169" Type="http://schemas.openxmlformats.org/officeDocument/2006/relationships/hyperlink" Target="mailto:informes@envasesval.com.mx" TargetMode="External"/><Relationship Id="rId185" Type="http://schemas.openxmlformats.org/officeDocument/2006/relationships/hyperlink" Target="mailto:compras@jrpaqueteria.mx" TargetMode="External"/><Relationship Id="rId4" Type="http://schemas.openxmlformats.org/officeDocument/2006/relationships/hyperlink" Target="https://www.almetindustrial.com/" TargetMode="External"/><Relationship Id="rId9" Type="http://schemas.openxmlformats.org/officeDocument/2006/relationships/hyperlink" Target="https://www.linkedin.com/company/abarrotesabeja/?trk=ppro_cprof" TargetMode="External"/><Relationship Id="rId180" Type="http://schemas.openxmlformats.org/officeDocument/2006/relationships/hyperlink" Target="mailto:recepcion@tubin.com.mx" TargetMode="External"/><Relationship Id="rId26" Type="http://schemas.openxmlformats.org/officeDocument/2006/relationships/hyperlink" Target="https://grupoprologiss.com.mx/" TargetMode="External"/><Relationship Id="rId47" Type="http://schemas.openxmlformats.org/officeDocument/2006/relationships/hyperlink" Target="https://www.linkedin.com/in/eduardo-gonz%C3%A1lez-kennedy-4513a973" TargetMode="External"/><Relationship Id="rId68" Type="http://schemas.openxmlformats.org/officeDocument/2006/relationships/hyperlink" Target="https://www.dicatex.mx/" TargetMode="External"/><Relationship Id="rId89" Type="http://schemas.openxmlformats.org/officeDocument/2006/relationships/hyperlink" Target="https://www.ferman.mx/" TargetMode="External"/><Relationship Id="rId112" Type="http://schemas.openxmlformats.org/officeDocument/2006/relationships/hyperlink" Target="https://www.bimeseguridadindustrial.com/" TargetMode="External"/><Relationship Id="rId133" Type="http://schemas.openxmlformats.org/officeDocument/2006/relationships/hyperlink" Target="https://grupodulcerotarahumara.miadn.mx/" TargetMode="External"/><Relationship Id="rId154" Type="http://schemas.openxmlformats.org/officeDocument/2006/relationships/hyperlink" Target="mailto:proyectos@gruporago.com" TargetMode="External"/><Relationship Id="rId175" Type="http://schemas.openxmlformats.org/officeDocument/2006/relationships/hyperlink" Target="mailto:info@refa100.com" TargetMode="External"/><Relationship Id="rId16" Type="http://schemas.openxmlformats.org/officeDocument/2006/relationships/hyperlink" Target="https://mx.linkedin.com/in/edgar-martinez-742384288" TargetMode="External"/><Relationship Id="rId37" Type="http://schemas.openxmlformats.org/officeDocument/2006/relationships/hyperlink" Target="https://sabrosam.com/" TargetMode="External"/><Relationship Id="rId58" Type="http://schemas.openxmlformats.org/officeDocument/2006/relationships/hyperlink" Target="https://www.linkedin.com/in/pm-stamping-sa-de-cv-9758b1188/?skipRedirect=true" TargetMode="External"/><Relationship Id="rId79" Type="http://schemas.openxmlformats.org/officeDocument/2006/relationships/hyperlink" Target="https://www.garantiautoparts.com/ecommerce/" TargetMode="External"/><Relationship Id="rId102" Type="http://schemas.openxmlformats.org/officeDocument/2006/relationships/hyperlink" Target="https://imprimatur.com.mx/" TargetMode="External"/><Relationship Id="rId123" Type="http://schemas.openxmlformats.org/officeDocument/2006/relationships/hyperlink" Target="https://www.tornillosytuercasmedina.com/" TargetMode="External"/><Relationship Id="rId144" Type="http://schemas.openxmlformats.org/officeDocument/2006/relationships/hyperlink" Target="mailto:ventas@innobags.com" TargetMode="External"/><Relationship Id="rId90" Type="http://schemas.openxmlformats.org/officeDocument/2006/relationships/hyperlink" Target="https://www.linkedin.com/company/somoldi/" TargetMode="External"/><Relationship Id="rId165" Type="http://schemas.openxmlformats.org/officeDocument/2006/relationships/hyperlink" Target="mailto:bolibolsas@gmai.com" TargetMode="External"/><Relationship Id="rId186" Type="http://schemas.openxmlformats.org/officeDocument/2006/relationships/hyperlink" Target="https://www.qualmex.com/en" TargetMode="External"/><Relationship Id="rId27" Type="http://schemas.openxmlformats.org/officeDocument/2006/relationships/hyperlink" Target="https://innobags.com.mx/" TargetMode="External"/><Relationship Id="rId48" Type="http://schemas.openxmlformats.org/officeDocument/2006/relationships/hyperlink" Target="https://www.linkedin.com/in/victor-hugo-alarcon-olivas-a1945a6a/" TargetMode="External"/><Relationship Id="rId69" Type="http://schemas.openxmlformats.org/officeDocument/2006/relationships/hyperlink" Target="https://www.google.com/search?sca_esv=f03d313a4cb8ca83&amp;sxsrf=APpeQnsxn8PnZ1kEQU_aC8atL7-Do9jAtg:1783491375875&amp;q=Alamo+Aluminios+numero&amp;source=lnms&amp;fbs=ABfTbFVjtdzIkJDfNfC9lB6JHC-7xP2Cr0C10Pm5IKZRbmMWHcTkMCyKbYKnvS3Yy0OmWkgwxKX2t9cZAw7fdaMq34LEvaZsAEMi0JbTI_WCszWbVo8bQMRKKcfQuDJpsPzETW-Hf5h0-9C3Iwf32u_ANTPX-jvQ2vnDvy1F6ismEZTvX78waiqyZvDM2Ps4PltjbUgzIy6mDS6sT9TYm0UigYqNt1cnD9KPM-QS9FLOrTB1NzP5iTE&amp;sa=X&amp;ved=2ahUKEwj4yKyPt8KVAxXk4skDHaN4FbcQ0pQJegQIGBAB&amp;biw=1536&amp;bih=756&amp;dpr=1.25" TargetMode="External"/><Relationship Id="rId113" Type="http://schemas.openxmlformats.org/officeDocument/2006/relationships/hyperlink" Target="https://www.uniformespaquirri.com.mx/" TargetMode="External"/><Relationship Id="rId134" Type="http://schemas.openxmlformats.org/officeDocument/2006/relationships/hyperlink" Target="https://www.industrialvaladezsadecv.com/" TargetMode="External"/><Relationship Id="rId80" Type="http://schemas.openxmlformats.org/officeDocument/2006/relationships/hyperlink" Target="https://www.linkedin.com/company/auto-express-24-horas-logistic/people/" TargetMode="External"/><Relationship Id="rId155" Type="http://schemas.openxmlformats.org/officeDocument/2006/relationships/hyperlink" Target="mailto:gerencia@gsi-ingredientes.com.mx" TargetMode="External"/><Relationship Id="rId176" Type="http://schemas.openxmlformats.org/officeDocument/2006/relationships/hyperlink" Target="mailto:contraloria@polimerostapatios.com" TargetMode="External"/><Relationship Id="rId17" Type="http://schemas.openxmlformats.org/officeDocument/2006/relationships/hyperlink" Target="mailto:diego@stplastic.com" TargetMode="External"/><Relationship Id="rId38" Type="http://schemas.openxmlformats.org/officeDocument/2006/relationships/hyperlink" Target="https://stplastic.mx/" TargetMode="External"/><Relationship Id="rId59" Type="http://schemas.openxmlformats.org/officeDocument/2006/relationships/hyperlink" Target="https://mx.linkedin.com/company/prodeyma" TargetMode="External"/><Relationship Id="rId103" Type="http://schemas.openxmlformats.org/officeDocument/2006/relationships/hyperlink" Target="https://operadorapalermo.com.mx/" TargetMode="External"/><Relationship Id="rId124" Type="http://schemas.openxmlformats.org/officeDocument/2006/relationships/hyperlink" Target="https://www.proveedoramalber.com/" TargetMode="External"/><Relationship Id="rId70" Type="http://schemas.openxmlformats.org/officeDocument/2006/relationships/hyperlink" Target="https://www.autoexpress24horas.com/" TargetMode="External"/><Relationship Id="rId91" Type="http://schemas.openxmlformats.org/officeDocument/2006/relationships/hyperlink" Target="https://poliflex.com.mx/" TargetMode="External"/><Relationship Id="rId145" Type="http://schemas.openxmlformats.org/officeDocument/2006/relationships/hyperlink" Target="mailto:sabrosam01@gmail.com" TargetMode="External"/><Relationship Id="rId166" Type="http://schemas.openxmlformats.org/officeDocument/2006/relationships/hyperlink" Target="mailto:rigocarr3@gmail.com" TargetMode="External"/><Relationship Id="rId187" Type="http://schemas.openxmlformats.org/officeDocument/2006/relationships/printerSettings" Target="../printerSettings/printerSettings1.bin"/><Relationship Id="rId1" Type="http://schemas.openxmlformats.org/officeDocument/2006/relationships/hyperlink" Target="mailto:direccion@dilox.com.mx" TargetMode="External"/><Relationship Id="rId28" Type="http://schemas.openxmlformats.org/officeDocument/2006/relationships/hyperlink" Target="https://lacta.mx/" TargetMode="External"/><Relationship Id="rId49" Type="http://schemas.openxmlformats.org/officeDocument/2006/relationships/hyperlink" Target="https://www.linkedin.com/in/valeriacasmor" TargetMode="External"/><Relationship Id="rId114" Type="http://schemas.openxmlformats.org/officeDocument/2006/relationships/hyperlink" Target="https://www.divisionesycorrugados.com.mx/" TargetMode="External"/><Relationship Id="rId60" Type="http://schemas.openxmlformats.org/officeDocument/2006/relationships/hyperlink" Target="https://mx.linkedin.com/in/jorge-hallal-385a97254" TargetMode="External"/><Relationship Id="rId81" Type="http://schemas.openxmlformats.org/officeDocument/2006/relationships/hyperlink" Target="https://www.linkedin.com/in/angel-rios-566682a2/" TargetMode="External"/><Relationship Id="rId135" Type="http://schemas.openxmlformats.org/officeDocument/2006/relationships/hyperlink" Target="https://www.tmchidraulicos.com/" TargetMode="External"/><Relationship Id="rId156" Type="http://schemas.openxmlformats.org/officeDocument/2006/relationships/hyperlink" Target="mailto:complemento@productosavila.com" TargetMode="External"/><Relationship Id="rId177" Type="http://schemas.openxmlformats.org/officeDocument/2006/relationships/hyperlink" Target="mailto:jonathan.romero@aceroscoyotes.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2E570-7E36-4CA3-AD3D-F7697AAF5C1C}">
  <sheetPr codeName="Sheet13">
    <tabColor rgb="FFFFFF00"/>
    <outlinePr summaryBelow="0"/>
    <pageSetUpPr autoPageBreaks="0" fitToPage="1"/>
  </sheetPr>
  <dimension ref="A1:IZ1048361"/>
  <sheetViews>
    <sheetView showGridLines="0" tabSelected="1" zoomScale="85" zoomScaleNormal="85" zoomScaleSheetLayoutView="85" zoomScalePageLayoutView="85" workbookViewId="0">
      <pane xSplit="6" ySplit="10" topLeftCell="U11" activePane="bottomRight" state="frozen"/>
      <selection pane="topRight" activeCell="G1" sqref="G1"/>
      <selection pane="bottomLeft" activeCell="A11" sqref="A11"/>
      <selection pane="bottomRight" activeCell="Z14" sqref="Z14"/>
    </sheetView>
  </sheetViews>
  <sheetFormatPr defaultColWidth="8.85546875" defaultRowHeight="12.75" x14ac:dyDescent="0.2"/>
  <cols>
    <col min="1" max="1" width="3.7109375" style="51" customWidth="1"/>
    <col min="2" max="2" width="3.85546875" style="53" bestFit="1" customWidth="1"/>
    <col min="3" max="3" width="7.28515625" style="53" customWidth="1"/>
    <col min="4" max="4" width="10.28515625" style="53" customWidth="1"/>
    <col min="5" max="5" width="2" style="52" customWidth="1"/>
    <col min="6" max="6" width="44.5703125" style="53" customWidth="1"/>
    <col min="7" max="7" width="13.5703125" style="54" customWidth="1"/>
    <col min="8" max="8" width="31" style="54" bestFit="1" customWidth="1"/>
    <col min="9" max="9" width="14" style="54" customWidth="1"/>
    <col min="10" max="10" width="40.85546875" style="54" customWidth="1"/>
    <col min="11" max="11" width="2" style="54" customWidth="1"/>
    <col min="12" max="12" width="26.5703125" style="54" customWidth="1"/>
    <col min="13" max="13" width="27.85546875" style="54" customWidth="1"/>
    <col min="14" max="14" width="25" style="54" customWidth="1"/>
    <col min="15" max="15" width="15.5703125" style="54" customWidth="1"/>
    <col min="16" max="16" width="8.140625" style="52" customWidth="1"/>
    <col min="17" max="17" width="10.5703125" style="52" customWidth="1"/>
    <col min="18" max="18" width="2" style="52" customWidth="1"/>
    <col min="19" max="19" width="18.140625" style="52" bestFit="1" customWidth="1"/>
    <col min="20" max="21" width="13.7109375" style="52" customWidth="1"/>
    <col min="22" max="22" width="2" style="52" customWidth="1"/>
    <col min="23" max="23" width="56" style="52" customWidth="1"/>
    <col min="24" max="24" width="2" style="52" customWidth="1"/>
    <col min="25" max="25" width="69.85546875" style="52" customWidth="1"/>
    <col min="26" max="27" width="15.140625" style="52" customWidth="1"/>
    <col min="28" max="28" width="16.85546875" style="52" customWidth="1"/>
    <col min="29" max="29" width="10.28515625" style="52" bestFit="1" customWidth="1"/>
    <col min="30" max="30" width="9.85546875" style="52" bestFit="1" customWidth="1"/>
    <col min="31" max="31" width="10.85546875" style="52" bestFit="1" customWidth="1"/>
    <col min="32" max="32" width="10.7109375" style="52" bestFit="1" customWidth="1"/>
    <col min="33" max="33" width="10.140625" style="52" bestFit="1" customWidth="1"/>
    <col min="34" max="37" width="10.28515625" style="52" bestFit="1" customWidth="1"/>
    <col min="38" max="38" width="10.7109375" style="52" bestFit="1" customWidth="1"/>
    <col min="39" max="39" width="10.28515625" style="52" bestFit="1" customWidth="1"/>
    <col min="40" max="40" width="10.85546875" style="52" bestFit="1" customWidth="1"/>
    <col min="41" max="41" width="10.28515625" style="52" bestFit="1" customWidth="1"/>
    <col min="42" max="42" width="9.85546875" style="52" bestFit="1" customWidth="1"/>
    <col min="43" max="43" width="10.85546875" style="52" bestFit="1" customWidth="1"/>
    <col min="44" max="44" width="10.7109375" style="52" bestFit="1" customWidth="1"/>
    <col min="45" max="45" width="10.140625" style="52" bestFit="1" customWidth="1"/>
    <col min="46" max="49" width="10.28515625" style="52" bestFit="1" customWidth="1"/>
    <col min="50" max="50" width="10.7109375" style="52" bestFit="1" customWidth="1"/>
    <col min="51" max="51" width="10.28515625" style="52" bestFit="1" customWidth="1"/>
    <col min="52" max="52" width="10.85546875" style="52" bestFit="1" customWidth="1"/>
    <col min="53" max="53" width="10.28515625" style="52" bestFit="1" customWidth="1"/>
    <col min="54" max="54" width="9.85546875" style="52" bestFit="1" customWidth="1"/>
    <col min="55" max="55" width="10.85546875" style="52" bestFit="1" customWidth="1"/>
    <col min="56" max="56" width="10.7109375" style="52" bestFit="1" customWidth="1"/>
    <col min="57" max="57" width="10.140625" style="52" bestFit="1" customWidth="1"/>
    <col min="58" max="59" width="10.28515625" style="52" bestFit="1" customWidth="1"/>
    <col min="60" max="60" width="2.7109375" style="52" customWidth="1"/>
    <col min="61" max="260" width="0" style="52" hidden="1" customWidth="1"/>
    <col min="261" max="16384" width="8.85546875" style="52"/>
  </cols>
  <sheetData>
    <row r="1" spans="1:260" s="38" customFormat="1" ht="20.25" x14ac:dyDescent="0.2">
      <c r="A1" s="37" t="str">
        <f ca="1">MID(CELL("filename",A1),FIND("[",CELL("filename",A1))+1,FIND("]",CELL("filename",A1))-FIND("[",CELL("filename",A1))-6)</f>
        <v>Project Dipa  - Long List v2</v>
      </c>
      <c r="B1" s="39"/>
      <c r="C1" s="39"/>
      <c r="D1" s="39"/>
      <c r="F1" s="39"/>
      <c r="G1" s="40"/>
      <c r="H1" s="40"/>
      <c r="I1" s="40"/>
      <c r="J1" s="40"/>
      <c r="K1" s="40"/>
      <c r="L1" s="40"/>
      <c r="M1" s="40"/>
      <c r="N1" s="40"/>
      <c r="O1" s="40"/>
    </row>
    <row r="2" spans="1:260" s="42" customFormat="1" ht="18" x14ac:dyDescent="0.2">
      <c r="A2" s="41" t="str">
        <f ca="1">MID(CELL("filename",A2),FIND("]",CELL("filename",A2))+1,LEN(CELL("filename",A2)))</f>
        <v>I_Long List</v>
      </c>
      <c r="B2" s="43"/>
      <c r="C2" s="43"/>
      <c r="D2" s="43"/>
      <c r="F2" s="43"/>
      <c r="G2" s="44"/>
      <c r="H2" s="45"/>
      <c r="I2" s="44"/>
      <c r="J2" s="44"/>
      <c r="K2" s="44"/>
      <c r="L2" s="44"/>
      <c r="M2" s="44"/>
      <c r="N2" s="44"/>
      <c r="O2" s="44"/>
    </row>
    <row r="3" spans="1:260" s="47" customFormat="1" x14ac:dyDescent="0.2">
      <c r="A3" s="46"/>
      <c r="B3" s="36"/>
      <c r="C3" s="36"/>
      <c r="D3" s="36"/>
      <c r="F3" s="36"/>
      <c r="G3" s="48"/>
      <c r="H3" s="49"/>
      <c r="I3" s="48"/>
      <c r="J3" s="48"/>
      <c r="K3" s="48"/>
      <c r="L3" s="48"/>
      <c r="M3" s="48"/>
      <c r="N3" s="48"/>
      <c r="O3" s="48"/>
    </row>
    <row r="4" spans="1:260" s="42" customFormat="1" ht="4.5" customHeight="1" x14ac:dyDescent="0.2">
      <c r="A4" s="50"/>
      <c r="B4" s="43"/>
      <c r="C4" s="43"/>
      <c r="D4" s="43"/>
      <c r="F4" s="43"/>
      <c r="G4" s="44"/>
      <c r="H4" s="44"/>
      <c r="I4" s="44"/>
      <c r="J4" s="44"/>
      <c r="K4" s="44"/>
      <c r="L4" s="44"/>
      <c r="M4" s="44"/>
      <c r="N4" s="44"/>
      <c r="O4" s="44"/>
    </row>
    <row r="5" spans="1:260" s="92" customFormat="1" ht="13.5" thickBot="1" x14ac:dyDescent="0.25">
      <c r="A5" s="51"/>
      <c r="B5" s="91"/>
      <c r="C5" s="91"/>
      <c r="D5" s="91"/>
      <c r="F5" s="91"/>
      <c r="G5" s="93"/>
      <c r="H5" s="93"/>
      <c r="I5" s="93"/>
      <c r="J5" s="93"/>
      <c r="K5" s="93"/>
      <c r="L5" s="93"/>
      <c r="M5" s="93"/>
      <c r="N5" s="93"/>
      <c r="O5" s="93"/>
      <c r="BI5" s="52"/>
      <c r="BJ5" s="52"/>
      <c r="BK5" s="52"/>
      <c r="BL5" s="52"/>
      <c r="BM5" s="52"/>
      <c r="BN5" s="52"/>
      <c r="BO5" s="52"/>
      <c r="BP5" s="52"/>
      <c r="BQ5" s="52"/>
      <c r="BR5" s="52"/>
      <c r="BS5" s="52"/>
      <c r="BT5" s="52"/>
      <c r="BU5" s="52"/>
      <c r="BV5" s="52"/>
      <c r="BW5" s="52"/>
      <c r="BX5" s="52"/>
      <c r="BY5" s="52"/>
      <c r="BZ5" s="52"/>
      <c r="CA5" s="52"/>
      <c r="CB5" s="52"/>
      <c r="CC5" s="52"/>
      <c r="CD5" s="52"/>
      <c r="CE5" s="52"/>
      <c r="CF5" s="52"/>
      <c r="CG5" s="52"/>
      <c r="CH5" s="52"/>
      <c r="CI5" s="52"/>
      <c r="CJ5" s="52"/>
      <c r="CK5" s="52"/>
      <c r="CL5" s="52"/>
      <c r="CM5" s="52"/>
      <c r="CN5" s="52"/>
      <c r="CO5" s="52"/>
      <c r="CP5" s="52"/>
      <c r="CQ5" s="52"/>
      <c r="CR5" s="52"/>
      <c r="CS5" s="52"/>
      <c r="CT5" s="52"/>
      <c r="CU5" s="52"/>
      <c r="CV5" s="52"/>
      <c r="CW5" s="52"/>
      <c r="CX5" s="52"/>
      <c r="CY5" s="52"/>
      <c r="CZ5" s="52"/>
      <c r="DA5" s="52"/>
      <c r="DB5" s="52"/>
      <c r="DC5" s="52"/>
      <c r="DD5" s="52"/>
      <c r="DE5" s="52"/>
      <c r="DF5" s="52"/>
      <c r="DG5" s="52"/>
      <c r="DH5" s="52"/>
      <c r="DI5" s="52"/>
      <c r="DJ5" s="52"/>
      <c r="DK5" s="52"/>
      <c r="DL5" s="52"/>
      <c r="DM5" s="52"/>
      <c r="DN5" s="52"/>
      <c r="DO5" s="52"/>
      <c r="DP5" s="52"/>
      <c r="DQ5" s="52"/>
      <c r="DR5" s="52"/>
      <c r="DS5" s="52"/>
      <c r="DT5" s="52"/>
      <c r="DU5" s="52"/>
      <c r="DV5" s="52"/>
      <c r="DW5" s="52"/>
      <c r="DX5" s="52"/>
      <c r="DY5" s="52"/>
      <c r="DZ5" s="52"/>
      <c r="EA5" s="52"/>
      <c r="EB5" s="52"/>
      <c r="EC5" s="52"/>
      <c r="ED5" s="52"/>
      <c r="EE5" s="52"/>
      <c r="EF5" s="52"/>
      <c r="EG5" s="52"/>
      <c r="EH5" s="52"/>
      <c r="EI5" s="52"/>
      <c r="EJ5" s="52"/>
      <c r="EK5" s="52"/>
      <c r="EL5" s="52"/>
      <c r="EM5" s="52"/>
      <c r="EN5" s="52"/>
      <c r="EO5" s="52"/>
      <c r="EP5" s="52"/>
      <c r="EQ5" s="52"/>
      <c r="ER5" s="52"/>
      <c r="ES5" s="52"/>
      <c r="ET5" s="52"/>
      <c r="EU5" s="52"/>
      <c r="EV5" s="52"/>
      <c r="EW5" s="52"/>
      <c r="EX5" s="52"/>
      <c r="EY5" s="52"/>
      <c r="EZ5" s="52"/>
      <c r="FA5" s="52"/>
      <c r="FB5" s="52"/>
      <c r="FC5" s="52"/>
      <c r="FD5" s="52"/>
      <c r="FE5" s="52"/>
      <c r="FF5" s="52"/>
      <c r="FG5" s="52"/>
      <c r="FH5" s="52"/>
      <c r="FI5" s="52"/>
      <c r="FJ5" s="52"/>
      <c r="FK5" s="52"/>
      <c r="FL5" s="52"/>
      <c r="FM5" s="52"/>
      <c r="FN5" s="52"/>
      <c r="FO5" s="52"/>
      <c r="FP5" s="52"/>
      <c r="FQ5" s="52"/>
      <c r="FR5" s="52"/>
      <c r="FS5" s="52"/>
      <c r="FT5" s="52"/>
      <c r="FU5" s="52"/>
      <c r="FV5" s="52"/>
      <c r="FW5" s="52"/>
      <c r="FX5" s="52"/>
      <c r="FY5" s="52"/>
      <c r="FZ5" s="52"/>
      <c r="GA5" s="52"/>
      <c r="GB5" s="52"/>
      <c r="GC5" s="52"/>
      <c r="GD5" s="52"/>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2"/>
      <c r="HP5" s="52"/>
      <c r="HQ5" s="52"/>
      <c r="HR5" s="52"/>
      <c r="HS5" s="52"/>
      <c r="HT5" s="52"/>
      <c r="HU5" s="52"/>
      <c r="HV5" s="52"/>
      <c r="HW5" s="52"/>
      <c r="HX5" s="52"/>
      <c r="HY5" s="52"/>
      <c r="HZ5" s="52"/>
      <c r="IA5" s="52"/>
      <c r="IB5" s="52"/>
      <c r="IC5" s="52"/>
      <c r="ID5" s="52"/>
      <c r="IE5" s="52"/>
      <c r="IF5" s="52"/>
      <c r="IG5" s="52"/>
      <c r="IH5" s="52"/>
      <c r="II5" s="52"/>
      <c r="IJ5" s="52"/>
      <c r="IK5" s="52"/>
      <c r="IL5" s="52"/>
      <c r="IM5" s="52"/>
      <c r="IN5" s="52"/>
      <c r="IO5" s="52"/>
      <c r="IP5" s="52"/>
      <c r="IQ5" s="52"/>
      <c r="IR5" s="52"/>
      <c r="IS5" s="52"/>
      <c r="IT5" s="52"/>
      <c r="IU5" s="52"/>
      <c r="IV5" s="52"/>
      <c r="IW5" s="52"/>
      <c r="IX5" s="52"/>
      <c r="IY5" s="52"/>
      <c r="IZ5" s="52"/>
    </row>
    <row r="6" spans="1:260" s="55" customFormat="1" ht="15.75" x14ac:dyDescent="0.2">
      <c r="B6" s="94"/>
      <c r="C6" s="94"/>
      <c r="D6" s="94"/>
      <c r="F6" s="94"/>
      <c r="G6" s="95"/>
      <c r="H6" s="95"/>
      <c r="I6" s="95"/>
      <c r="J6" s="95"/>
      <c r="K6" s="95"/>
      <c r="L6" s="95"/>
      <c r="M6" s="95"/>
      <c r="N6" s="95"/>
      <c r="O6" s="95"/>
    </row>
    <row r="7" spans="1:260" s="92" customFormat="1" x14ac:dyDescent="0.2">
      <c r="A7" s="51"/>
      <c r="B7" s="91"/>
      <c r="C7" s="91"/>
      <c r="D7" s="91"/>
      <c r="F7" s="91"/>
      <c r="G7" s="93"/>
      <c r="H7" s="93"/>
      <c r="I7" s="93"/>
      <c r="J7" s="93"/>
      <c r="K7" s="93"/>
      <c r="L7" s="93"/>
      <c r="M7" s="93"/>
      <c r="N7" s="93"/>
      <c r="O7" s="93"/>
      <c r="BI7" s="52"/>
      <c r="BJ7" s="52"/>
      <c r="BK7" s="52"/>
      <c r="BL7" s="52"/>
      <c r="BM7" s="52"/>
      <c r="BN7" s="52"/>
      <c r="BO7" s="52"/>
      <c r="BP7" s="52"/>
      <c r="BQ7" s="52"/>
      <c r="BR7" s="52"/>
      <c r="BS7" s="52"/>
      <c r="BT7" s="52"/>
      <c r="BU7" s="52"/>
      <c r="BV7" s="52"/>
      <c r="BW7" s="52"/>
      <c r="BX7" s="52"/>
      <c r="BY7" s="52"/>
      <c r="BZ7" s="52"/>
      <c r="CA7" s="52"/>
      <c r="CB7" s="52"/>
      <c r="CC7" s="52"/>
      <c r="CD7" s="52"/>
      <c r="CE7" s="52"/>
      <c r="CF7" s="52"/>
      <c r="CG7" s="52"/>
      <c r="CH7" s="52"/>
      <c r="CI7" s="52"/>
      <c r="CJ7" s="52"/>
      <c r="CK7" s="52"/>
      <c r="CL7" s="52"/>
      <c r="CM7" s="52"/>
      <c r="CN7" s="52"/>
      <c r="CO7" s="52"/>
      <c r="CP7" s="52"/>
      <c r="CQ7" s="52"/>
      <c r="CR7" s="52"/>
      <c r="CS7" s="52"/>
      <c r="CT7" s="52"/>
      <c r="CU7" s="52"/>
      <c r="CV7" s="52"/>
      <c r="CW7" s="52"/>
      <c r="CX7" s="52"/>
      <c r="CY7" s="52"/>
      <c r="CZ7" s="52"/>
      <c r="DA7" s="52"/>
      <c r="DB7" s="52"/>
      <c r="DC7" s="52"/>
      <c r="DD7" s="52"/>
      <c r="DE7" s="52"/>
      <c r="DF7" s="52"/>
      <c r="DG7" s="52"/>
      <c r="DH7" s="52"/>
      <c r="DI7" s="52"/>
      <c r="DJ7" s="52"/>
      <c r="DK7" s="52"/>
      <c r="DL7" s="52"/>
      <c r="DM7" s="52"/>
      <c r="DN7" s="52"/>
      <c r="DO7" s="52"/>
      <c r="DP7" s="52"/>
      <c r="DQ7" s="52"/>
      <c r="DR7" s="52"/>
      <c r="DS7" s="52"/>
      <c r="DT7" s="52"/>
      <c r="DU7" s="52"/>
      <c r="DV7" s="52"/>
      <c r="DW7" s="52"/>
      <c r="DX7" s="52"/>
      <c r="DY7" s="52"/>
      <c r="DZ7" s="52"/>
      <c r="EA7" s="52"/>
      <c r="EB7" s="52"/>
      <c r="EC7" s="52"/>
      <c r="ED7" s="52"/>
      <c r="EE7" s="52"/>
      <c r="EF7" s="52"/>
      <c r="EG7" s="52"/>
      <c r="EH7" s="52"/>
      <c r="EI7" s="52"/>
      <c r="EJ7" s="52"/>
      <c r="EK7" s="52"/>
      <c r="EL7" s="52"/>
      <c r="EM7" s="52"/>
      <c r="EN7" s="52"/>
      <c r="EO7" s="52"/>
      <c r="EP7" s="52"/>
      <c r="EQ7" s="52"/>
      <c r="ER7" s="52"/>
      <c r="ES7" s="52"/>
      <c r="ET7" s="52"/>
      <c r="EU7" s="52"/>
      <c r="EV7" s="52"/>
      <c r="EW7" s="52"/>
      <c r="EX7" s="52"/>
      <c r="EY7" s="52"/>
      <c r="EZ7" s="52"/>
      <c r="FA7" s="52"/>
      <c r="FB7" s="52"/>
      <c r="FC7" s="52"/>
      <c r="FD7" s="52"/>
      <c r="FE7" s="52"/>
      <c r="FF7" s="52"/>
      <c r="FG7" s="52"/>
      <c r="FH7" s="52"/>
      <c r="FI7" s="52"/>
      <c r="FJ7" s="52"/>
      <c r="FK7" s="52"/>
      <c r="FL7" s="52"/>
      <c r="FM7" s="52"/>
      <c r="FN7" s="52"/>
      <c r="FO7" s="52"/>
      <c r="FP7" s="52"/>
      <c r="FQ7" s="52"/>
      <c r="FR7" s="52"/>
      <c r="FS7" s="52"/>
      <c r="FT7" s="52"/>
      <c r="FU7" s="52"/>
      <c r="FV7" s="52"/>
      <c r="FW7" s="52"/>
      <c r="FX7" s="52"/>
      <c r="FY7" s="52"/>
      <c r="FZ7" s="52"/>
      <c r="GA7" s="52"/>
      <c r="GB7" s="52"/>
      <c r="GC7" s="52"/>
      <c r="GD7" s="52"/>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2"/>
      <c r="HP7" s="52"/>
      <c r="HQ7" s="52"/>
      <c r="HR7" s="52"/>
      <c r="HS7" s="52"/>
      <c r="HT7" s="52"/>
      <c r="HU7" s="52"/>
      <c r="HV7" s="52"/>
      <c r="HW7" s="52"/>
      <c r="HX7" s="52"/>
      <c r="HY7" s="52"/>
      <c r="HZ7" s="52"/>
      <c r="IA7" s="52"/>
      <c r="IB7" s="52"/>
      <c r="IC7" s="52"/>
      <c r="ID7" s="52"/>
      <c r="IE7" s="52"/>
      <c r="IF7" s="52"/>
      <c r="IG7" s="52"/>
      <c r="IH7" s="52"/>
      <c r="II7" s="52"/>
      <c r="IJ7" s="52"/>
      <c r="IK7" s="52"/>
      <c r="IL7" s="52"/>
      <c r="IM7" s="52"/>
      <c r="IN7" s="52"/>
      <c r="IO7" s="52"/>
      <c r="IP7" s="52"/>
      <c r="IQ7" s="52"/>
      <c r="IR7" s="52"/>
      <c r="IS7" s="52"/>
      <c r="IT7" s="52"/>
      <c r="IU7" s="52"/>
      <c r="IV7" s="52"/>
      <c r="IW7" s="52"/>
      <c r="IX7" s="52"/>
      <c r="IY7" s="52"/>
      <c r="IZ7" s="52"/>
    </row>
    <row r="8" spans="1:260" s="92" customFormat="1" x14ac:dyDescent="0.2">
      <c r="A8" s="51"/>
      <c r="B8" s="47"/>
      <c r="C8" s="47"/>
      <c r="D8" s="47"/>
      <c r="E8" s="96"/>
      <c r="F8" s="57" t="s">
        <v>14</v>
      </c>
      <c r="G8" s="57"/>
      <c r="H8" s="57"/>
      <c r="I8" s="57"/>
      <c r="J8" s="57"/>
      <c r="K8" s="97"/>
      <c r="L8" s="57" t="s">
        <v>23</v>
      </c>
      <c r="M8" s="57"/>
      <c r="N8" s="57"/>
      <c r="O8" s="57"/>
      <c r="P8" s="57"/>
      <c r="Q8" s="57"/>
      <c r="R8" s="96"/>
      <c r="S8" s="57" t="s">
        <v>24</v>
      </c>
      <c r="T8" s="57"/>
      <c r="U8" s="57"/>
      <c r="V8" s="96"/>
      <c r="W8" s="36"/>
      <c r="X8" s="96"/>
      <c r="Y8" s="36"/>
      <c r="Z8" s="36"/>
      <c r="AA8" s="36"/>
      <c r="AB8" s="36"/>
      <c r="BI8" s="52"/>
      <c r="BJ8" s="52"/>
      <c r="BK8" s="52"/>
      <c r="BL8" s="52"/>
      <c r="BM8" s="52"/>
      <c r="BN8" s="52"/>
      <c r="BO8" s="52"/>
      <c r="BP8" s="52"/>
      <c r="BQ8" s="52"/>
      <c r="BR8" s="52"/>
      <c r="BS8" s="52"/>
      <c r="BT8" s="52"/>
      <c r="BU8" s="52"/>
      <c r="BV8" s="52"/>
      <c r="BW8" s="52"/>
      <c r="BX8" s="52"/>
      <c r="BY8" s="52"/>
      <c r="BZ8" s="52"/>
      <c r="CA8" s="52"/>
      <c r="CB8" s="52"/>
      <c r="CC8" s="52"/>
      <c r="CD8" s="52"/>
      <c r="CE8" s="52"/>
      <c r="CF8" s="52"/>
      <c r="CG8" s="52"/>
      <c r="CH8" s="52"/>
      <c r="CI8" s="52"/>
      <c r="CJ8" s="52"/>
      <c r="CK8" s="52"/>
      <c r="CL8" s="52"/>
      <c r="CM8" s="52"/>
      <c r="CN8" s="52"/>
      <c r="CO8" s="52"/>
      <c r="CP8" s="52"/>
      <c r="CQ8" s="52"/>
      <c r="CR8" s="52"/>
      <c r="CS8" s="52"/>
      <c r="CT8" s="52"/>
      <c r="CU8" s="52"/>
      <c r="CV8" s="52"/>
      <c r="CW8" s="52"/>
      <c r="CX8" s="52"/>
      <c r="CY8" s="52"/>
      <c r="CZ8" s="52"/>
      <c r="DA8" s="52"/>
      <c r="DB8" s="52"/>
      <c r="DC8" s="52"/>
      <c r="DD8" s="52"/>
      <c r="DE8" s="52"/>
      <c r="DF8" s="52"/>
      <c r="DG8" s="52"/>
      <c r="DH8" s="52"/>
      <c r="DI8" s="52"/>
      <c r="DJ8" s="52"/>
      <c r="DK8" s="52"/>
      <c r="DL8" s="52"/>
      <c r="DM8" s="52"/>
      <c r="DN8" s="52"/>
      <c r="DO8" s="52"/>
      <c r="DP8" s="52"/>
      <c r="DQ8" s="52"/>
      <c r="DR8" s="52"/>
      <c r="DS8" s="52"/>
      <c r="DT8" s="52"/>
      <c r="DU8" s="52"/>
      <c r="DV8" s="52"/>
      <c r="DW8" s="52"/>
      <c r="DX8" s="52"/>
      <c r="DY8" s="52"/>
      <c r="DZ8" s="52"/>
      <c r="EA8" s="52"/>
      <c r="EB8" s="52"/>
      <c r="EC8" s="52"/>
      <c r="ED8" s="52"/>
      <c r="EE8" s="52"/>
      <c r="EF8" s="52"/>
      <c r="EG8" s="52"/>
      <c r="EH8" s="52"/>
      <c r="EI8" s="52"/>
      <c r="EJ8" s="52"/>
      <c r="EK8" s="52"/>
      <c r="EL8" s="52"/>
      <c r="EM8" s="52"/>
      <c r="EN8" s="52"/>
      <c r="EO8" s="52"/>
      <c r="EP8" s="52"/>
      <c r="EQ8" s="52"/>
      <c r="ER8" s="52"/>
      <c r="ES8" s="52"/>
      <c r="ET8" s="52"/>
      <c r="EU8" s="52"/>
      <c r="EV8" s="52"/>
      <c r="EW8" s="52"/>
      <c r="EX8" s="52"/>
      <c r="EY8" s="52"/>
      <c r="EZ8" s="52"/>
      <c r="FA8" s="52"/>
      <c r="FB8" s="52"/>
      <c r="FC8" s="52"/>
      <c r="FD8" s="52"/>
      <c r="FE8" s="52"/>
      <c r="FF8" s="52"/>
      <c r="FG8" s="52"/>
      <c r="FH8" s="52"/>
      <c r="FI8" s="52"/>
      <c r="FJ8" s="52"/>
      <c r="FK8" s="52"/>
      <c r="FL8" s="52"/>
      <c r="FM8" s="52"/>
      <c r="FN8" s="52"/>
      <c r="FO8" s="52"/>
      <c r="FP8" s="52"/>
      <c r="FQ8" s="52"/>
      <c r="FR8" s="52"/>
      <c r="FS8" s="52"/>
      <c r="FT8" s="52"/>
      <c r="FU8" s="52"/>
      <c r="FV8" s="52"/>
      <c r="FW8" s="52"/>
      <c r="FX8" s="52"/>
      <c r="FY8" s="52"/>
      <c r="FZ8" s="52"/>
      <c r="GA8" s="52"/>
      <c r="GB8" s="52"/>
      <c r="GC8" s="52"/>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2"/>
      <c r="HP8" s="52"/>
      <c r="HQ8" s="52"/>
      <c r="HR8" s="52"/>
      <c r="HS8" s="52"/>
      <c r="HT8" s="52"/>
      <c r="HU8" s="52"/>
      <c r="HV8" s="52"/>
      <c r="HW8" s="52"/>
      <c r="HX8" s="52"/>
      <c r="HY8" s="52"/>
      <c r="HZ8" s="52"/>
      <c r="IA8" s="52"/>
      <c r="IB8" s="52"/>
      <c r="IC8" s="52"/>
      <c r="ID8" s="52"/>
      <c r="IE8" s="52"/>
      <c r="IF8" s="52"/>
      <c r="IG8" s="52"/>
      <c r="IH8" s="52"/>
      <c r="II8" s="52"/>
      <c r="IJ8" s="52"/>
      <c r="IK8" s="52"/>
      <c r="IL8" s="52"/>
      <c r="IM8" s="52"/>
      <c r="IN8" s="52"/>
      <c r="IO8" s="52"/>
      <c r="IP8" s="52"/>
      <c r="IQ8" s="52"/>
      <c r="IR8" s="52"/>
      <c r="IS8" s="52"/>
      <c r="IT8" s="52"/>
      <c r="IU8" s="52"/>
      <c r="IV8" s="52"/>
      <c r="IW8" s="52"/>
      <c r="IX8" s="52"/>
      <c r="IY8" s="52"/>
      <c r="IZ8" s="52"/>
    </row>
    <row r="9" spans="1:260" s="92" customFormat="1" x14ac:dyDescent="0.2">
      <c r="A9" s="51"/>
      <c r="B9" s="47" t="s">
        <v>12</v>
      </c>
      <c r="C9" s="47" t="s">
        <v>1001</v>
      </c>
      <c r="D9" s="47" t="s">
        <v>251</v>
      </c>
      <c r="E9" s="96"/>
      <c r="F9" s="48" t="s">
        <v>13</v>
      </c>
      <c r="G9" s="48" t="s">
        <v>15</v>
      </c>
      <c r="H9" s="48" t="s">
        <v>16</v>
      </c>
      <c r="I9" s="48" t="s">
        <v>17</v>
      </c>
      <c r="J9" s="48" t="s">
        <v>165</v>
      </c>
      <c r="K9" s="97"/>
      <c r="L9" s="48" t="s">
        <v>18</v>
      </c>
      <c r="M9" s="48" t="s">
        <v>19</v>
      </c>
      <c r="N9" s="48" t="s">
        <v>20</v>
      </c>
      <c r="O9" s="48" t="s">
        <v>21</v>
      </c>
      <c r="P9" s="36" t="s">
        <v>22</v>
      </c>
      <c r="Q9" s="36" t="s">
        <v>166</v>
      </c>
      <c r="R9" s="96"/>
      <c r="S9" s="47" t="s">
        <v>25</v>
      </c>
      <c r="T9" s="47" t="s">
        <v>26</v>
      </c>
      <c r="U9" s="36" t="s">
        <v>27</v>
      </c>
      <c r="V9" s="96"/>
      <c r="W9" s="36" t="s">
        <v>28</v>
      </c>
      <c r="X9" s="96"/>
      <c r="Y9" s="36" t="s">
        <v>984</v>
      </c>
      <c r="Z9" s="36" t="s">
        <v>24</v>
      </c>
      <c r="AA9" s="36" t="s">
        <v>1113</v>
      </c>
      <c r="AB9" s="36" t="s">
        <v>1114</v>
      </c>
      <c r="BI9" s="52"/>
      <c r="BJ9" s="52"/>
      <c r="BK9" s="52"/>
      <c r="BL9" s="52"/>
      <c r="BM9" s="52"/>
      <c r="BN9" s="52"/>
      <c r="BO9" s="52"/>
      <c r="BP9" s="52"/>
      <c r="BQ9" s="52"/>
      <c r="BR9" s="52"/>
      <c r="BS9" s="52"/>
      <c r="BT9" s="52"/>
      <c r="BU9" s="52"/>
      <c r="BV9" s="52"/>
      <c r="BW9" s="52"/>
      <c r="BX9" s="52"/>
      <c r="BY9" s="52"/>
      <c r="BZ9" s="52"/>
      <c r="CA9" s="52"/>
      <c r="CB9" s="52"/>
      <c r="CC9" s="52"/>
      <c r="CD9" s="52"/>
      <c r="CE9" s="52"/>
      <c r="CF9" s="52"/>
      <c r="CG9" s="52"/>
      <c r="CH9" s="52"/>
      <c r="CI9" s="52"/>
      <c r="CJ9" s="52"/>
      <c r="CK9" s="52"/>
      <c r="CL9" s="52"/>
      <c r="CM9" s="52"/>
      <c r="CN9" s="52"/>
      <c r="CO9" s="52"/>
      <c r="CP9" s="52"/>
      <c r="CQ9" s="52"/>
      <c r="CR9" s="52"/>
      <c r="CS9" s="52"/>
      <c r="CT9" s="52"/>
      <c r="CU9" s="52"/>
      <c r="CV9" s="52"/>
      <c r="CW9" s="52"/>
      <c r="CX9" s="52"/>
      <c r="CY9" s="52"/>
      <c r="CZ9" s="52"/>
      <c r="DA9" s="52"/>
      <c r="DB9" s="52"/>
      <c r="DC9" s="52"/>
      <c r="DD9" s="52"/>
      <c r="DE9" s="52"/>
      <c r="DF9" s="52"/>
      <c r="DG9" s="52"/>
      <c r="DH9" s="52"/>
      <c r="DI9" s="52"/>
      <c r="DJ9" s="52"/>
      <c r="DK9" s="52"/>
      <c r="DL9" s="52"/>
      <c r="DM9" s="52"/>
      <c r="DN9" s="52"/>
      <c r="DO9" s="52"/>
      <c r="DP9" s="52"/>
      <c r="DQ9" s="52"/>
      <c r="DR9" s="52"/>
      <c r="DS9" s="52"/>
      <c r="DT9" s="52"/>
      <c r="DU9" s="52"/>
      <c r="DV9" s="52"/>
      <c r="DW9" s="52"/>
      <c r="DX9" s="52"/>
      <c r="DY9" s="52"/>
      <c r="DZ9" s="52"/>
      <c r="EA9" s="52"/>
      <c r="EB9" s="52"/>
      <c r="EC9" s="52"/>
      <c r="ED9" s="52"/>
      <c r="EE9" s="52"/>
      <c r="EF9" s="52"/>
      <c r="EG9" s="52"/>
      <c r="EH9" s="52"/>
      <c r="EI9" s="52"/>
      <c r="EJ9" s="52"/>
      <c r="EK9" s="52"/>
      <c r="EL9" s="52"/>
      <c r="EM9" s="52"/>
      <c r="EN9" s="52"/>
      <c r="EO9" s="52"/>
      <c r="EP9" s="52"/>
      <c r="EQ9" s="52"/>
      <c r="ER9" s="52"/>
      <c r="ES9" s="52"/>
      <c r="ET9" s="52"/>
      <c r="EU9" s="52"/>
      <c r="EV9" s="52"/>
      <c r="EW9" s="52"/>
      <c r="EX9" s="52"/>
      <c r="EY9" s="52"/>
      <c r="EZ9" s="52"/>
      <c r="FA9" s="52"/>
      <c r="FB9" s="52"/>
      <c r="FC9" s="52"/>
      <c r="FD9" s="52"/>
      <c r="FE9" s="52"/>
      <c r="FF9" s="52"/>
      <c r="FG9" s="52"/>
      <c r="FH9" s="52"/>
      <c r="FI9" s="52"/>
      <c r="FJ9" s="52"/>
      <c r="FK9" s="52"/>
      <c r="FL9" s="52"/>
      <c r="FM9" s="52"/>
      <c r="FN9" s="52"/>
      <c r="FO9" s="52"/>
      <c r="FP9" s="52"/>
      <c r="FQ9" s="52"/>
      <c r="FR9" s="52"/>
      <c r="FS9" s="52"/>
      <c r="FT9" s="52"/>
      <c r="FU9" s="52"/>
      <c r="FV9" s="52"/>
      <c r="FW9" s="52"/>
      <c r="FX9" s="52"/>
      <c r="FY9" s="52"/>
      <c r="FZ9" s="52"/>
      <c r="GA9" s="52"/>
      <c r="GB9" s="52"/>
      <c r="GC9" s="52"/>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2"/>
      <c r="HP9" s="52"/>
      <c r="HQ9" s="52"/>
      <c r="HR9" s="52"/>
      <c r="HS9" s="52"/>
      <c r="HT9" s="52"/>
      <c r="HU9" s="52"/>
      <c r="HV9" s="52"/>
      <c r="HW9" s="52"/>
      <c r="HX9" s="52"/>
      <c r="HY9" s="52"/>
      <c r="HZ9" s="52"/>
      <c r="IA9" s="52"/>
      <c r="IB9" s="52"/>
      <c r="IC9" s="52"/>
      <c r="ID9" s="52"/>
      <c r="IE9" s="52"/>
      <c r="IF9" s="52"/>
      <c r="IG9" s="52"/>
      <c r="IH9" s="52"/>
      <c r="II9" s="52"/>
      <c r="IJ9" s="52"/>
      <c r="IK9" s="52"/>
      <c r="IL9" s="52"/>
      <c r="IM9" s="52"/>
      <c r="IN9" s="52"/>
      <c r="IO9" s="52"/>
      <c r="IP9" s="52"/>
      <c r="IQ9" s="52"/>
      <c r="IR9" s="52"/>
      <c r="IS9" s="52"/>
      <c r="IT9" s="52"/>
      <c r="IU9" s="52"/>
      <c r="IV9" s="52"/>
      <c r="IW9" s="52"/>
      <c r="IX9" s="52"/>
      <c r="IY9" s="52"/>
      <c r="IZ9" s="52"/>
    </row>
    <row r="10" spans="1:260" x14ac:dyDescent="0.2">
      <c r="B10" s="59">
        <v>1</v>
      </c>
      <c r="C10" s="73"/>
      <c r="D10" s="60">
        <v>0</v>
      </c>
      <c r="E10" s="56"/>
      <c r="F10" s="61" t="s">
        <v>29</v>
      </c>
      <c r="G10" s="61" t="s">
        <v>70</v>
      </c>
      <c r="H10" s="61" t="s">
        <v>71</v>
      </c>
      <c r="I10" s="61" t="s">
        <v>72</v>
      </c>
      <c r="J10" s="62" t="s">
        <v>208</v>
      </c>
      <c r="K10" s="58"/>
      <c r="L10" s="61" t="s">
        <v>106</v>
      </c>
      <c r="M10" s="61" t="s">
        <v>130</v>
      </c>
      <c r="N10" s="61" t="s">
        <v>131</v>
      </c>
      <c r="O10" s="63" t="s">
        <v>974</v>
      </c>
      <c r="P10" s="64" t="s">
        <v>670</v>
      </c>
      <c r="Q10" s="65" t="s">
        <v>672</v>
      </c>
      <c r="R10" s="56"/>
      <c r="S10" s="64" t="s">
        <v>20</v>
      </c>
      <c r="T10" s="66">
        <v>46211</v>
      </c>
      <c r="U10" s="64" t="s">
        <v>717</v>
      </c>
      <c r="V10" s="56"/>
      <c r="W10" s="64" t="s">
        <v>167</v>
      </c>
      <c r="X10" s="56"/>
      <c r="Y10" s="64" t="s">
        <v>991</v>
      </c>
      <c r="Z10" s="64"/>
      <c r="AA10" s="64"/>
      <c r="AB10" s="64"/>
    </row>
    <row r="11" spans="1:260" x14ac:dyDescent="0.2">
      <c r="B11" s="59">
        <f t="shared" ref="B11:B13" si="0">+B10+1</f>
        <v>2</v>
      </c>
      <c r="C11" s="73"/>
      <c r="D11" s="60">
        <v>0</v>
      </c>
      <c r="E11" s="56"/>
      <c r="F11" s="61" t="s">
        <v>30</v>
      </c>
      <c r="G11" s="61" t="s">
        <v>73</v>
      </c>
      <c r="H11" s="61" t="s">
        <v>74</v>
      </c>
      <c r="I11" s="61" t="s">
        <v>75</v>
      </c>
      <c r="J11" s="62" t="s">
        <v>209</v>
      </c>
      <c r="K11" s="58"/>
      <c r="L11" s="61" t="s">
        <v>107</v>
      </c>
      <c r="M11" s="61" t="s">
        <v>132</v>
      </c>
      <c r="N11" s="61" t="s">
        <v>133</v>
      </c>
      <c r="O11" s="68" t="s">
        <v>975</v>
      </c>
      <c r="P11" s="64" t="s">
        <v>675</v>
      </c>
      <c r="Q11" s="64" t="s">
        <v>676</v>
      </c>
      <c r="R11" s="56"/>
      <c r="S11" s="64" t="s">
        <v>20</v>
      </c>
      <c r="T11" s="66">
        <v>46211</v>
      </c>
      <c r="U11" s="64" t="s">
        <v>716</v>
      </c>
      <c r="V11" s="56"/>
      <c r="W11" s="64" t="s">
        <v>168</v>
      </c>
      <c r="X11" s="56"/>
      <c r="Y11" s="64" t="s">
        <v>1047</v>
      </c>
      <c r="Z11" s="64" t="s">
        <v>1115</v>
      </c>
      <c r="AA11" s="64" t="s">
        <v>1111</v>
      </c>
      <c r="AB11" s="64" t="s">
        <v>1116</v>
      </c>
    </row>
    <row r="12" spans="1:260" x14ac:dyDescent="0.2">
      <c r="B12" s="59">
        <f t="shared" si="0"/>
        <v>3</v>
      </c>
      <c r="C12" s="73"/>
      <c r="D12" s="60">
        <v>0</v>
      </c>
      <c r="E12" s="56"/>
      <c r="F12" s="61" t="s">
        <v>31</v>
      </c>
      <c r="G12" s="61" t="s">
        <v>73</v>
      </c>
      <c r="H12" s="61" t="s">
        <v>76</v>
      </c>
      <c r="I12" s="61" t="s">
        <v>77</v>
      </c>
      <c r="J12" s="62" t="s">
        <v>210</v>
      </c>
      <c r="K12" s="58"/>
      <c r="L12" s="61" t="s">
        <v>108</v>
      </c>
      <c r="M12" s="61" t="s">
        <v>134</v>
      </c>
      <c r="N12" s="61" t="s">
        <v>135</v>
      </c>
      <c r="O12" s="68" t="s">
        <v>952</v>
      </c>
      <c r="P12" s="64" t="s">
        <v>684</v>
      </c>
      <c r="Q12" s="64" t="s">
        <v>687</v>
      </c>
      <c r="R12" s="56"/>
      <c r="S12" s="64" t="s">
        <v>20</v>
      </c>
      <c r="T12" s="66">
        <v>46211</v>
      </c>
      <c r="U12" s="64" t="s">
        <v>717</v>
      </c>
      <c r="V12" s="56"/>
      <c r="W12" s="64" t="s">
        <v>169</v>
      </c>
      <c r="X12" s="56"/>
      <c r="Y12" s="64" t="s">
        <v>991</v>
      </c>
      <c r="Z12" s="64"/>
      <c r="AA12" s="64"/>
      <c r="AB12" s="64"/>
    </row>
    <row r="13" spans="1:260" x14ac:dyDescent="0.2">
      <c r="B13" s="59">
        <f t="shared" si="0"/>
        <v>4</v>
      </c>
      <c r="C13" s="73"/>
      <c r="D13" s="60">
        <v>0</v>
      </c>
      <c r="E13" s="56"/>
      <c r="F13" s="61" t="s">
        <v>32</v>
      </c>
      <c r="G13" s="61" t="s">
        <v>73</v>
      </c>
      <c r="H13" s="61" t="s">
        <v>78</v>
      </c>
      <c r="I13" s="61" t="s">
        <v>75</v>
      </c>
      <c r="J13" s="62" t="s">
        <v>689</v>
      </c>
      <c r="K13" s="58"/>
      <c r="L13" s="61" t="s">
        <v>693</v>
      </c>
      <c r="M13" s="61" t="s">
        <v>139</v>
      </c>
      <c r="N13" s="62" t="s">
        <v>692</v>
      </c>
      <c r="O13" s="68" t="s">
        <v>979</v>
      </c>
      <c r="P13" s="64" t="s">
        <v>691</v>
      </c>
      <c r="Q13" s="65" t="s">
        <v>694</v>
      </c>
      <c r="R13" s="56"/>
      <c r="S13" s="64" t="s">
        <v>20</v>
      </c>
      <c r="T13" s="66">
        <v>46211</v>
      </c>
      <c r="U13" s="64" t="s">
        <v>717</v>
      </c>
      <c r="V13" s="56"/>
      <c r="W13" s="64" t="s">
        <v>170</v>
      </c>
      <c r="X13" s="56"/>
      <c r="Y13" s="64" t="s">
        <v>991</v>
      </c>
      <c r="Z13" s="64"/>
      <c r="AA13" s="64"/>
      <c r="AB13" s="64"/>
    </row>
    <row r="14" spans="1:260" x14ac:dyDescent="0.2">
      <c r="B14" s="59">
        <f t="shared" ref="B14:B45" si="1">+B13+1</f>
        <v>5</v>
      </c>
      <c r="C14" s="73" t="s">
        <v>1039</v>
      </c>
      <c r="D14" s="59"/>
      <c r="E14" s="56"/>
      <c r="F14" s="61" t="s">
        <v>526</v>
      </c>
      <c r="G14" s="61" t="s">
        <v>70</v>
      </c>
      <c r="H14" s="61" t="s">
        <v>552</v>
      </c>
      <c r="I14" s="61" t="s">
        <v>77</v>
      </c>
      <c r="J14" s="61" t="s">
        <v>578</v>
      </c>
      <c r="K14" s="58"/>
      <c r="L14" s="61" t="s">
        <v>1078</v>
      </c>
      <c r="M14" s="61" t="s">
        <v>1079</v>
      </c>
      <c r="N14" s="62" t="s">
        <v>1080</v>
      </c>
      <c r="O14" s="63" t="s">
        <v>624</v>
      </c>
      <c r="P14" s="64" t="s">
        <v>831</v>
      </c>
      <c r="Q14" s="64" t="s">
        <v>830</v>
      </c>
      <c r="R14" s="56"/>
      <c r="S14" s="64" t="s">
        <v>20</v>
      </c>
      <c r="T14" s="66">
        <v>46219</v>
      </c>
      <c r="U14" s="64"/>
      <c r="V14" s="56"/>
      <c r="W14" s="64" t="s">
        <v>649</v>
      </c>
      <c r="X14" s="56"/>
      <c r="Y14" s="64" t="s">
        <v>991</v>
      </c>
      <c r="Z14" s="64"/>
      <c r="AA14" s="64"/>
      <c r="AB14" s="64"/>
    </row>
    <row r="15" spans="1:260" x14ac:dyDescent="0.2">
      <c r="B15" s="59">
        <f t="shared" si="1"/>
        <v>6</v>
      </c>
      <c r="C15" s="73"/>
      <c r="D15" s="60">
        <v>0</v>
      </c>
      <c r="E15" s="56"/>
      <c r="F15" s="61" t="s">
        <v>34</v>
      </c>
      <c r="G15" s="61" t="s">
        <v>73</v>
      </c>
      <c r="H15" s="61" t="s">
        <v>79</v>
      </c>
      <c r="I15" s="61" t="s">
        <v>77</v>
      </c>
      <c r="J15" s="62" t="s">
        <v>212</v>
      </c>
      <c r="K15" s="58"/>
      <c r="L15" s="61" t="s">
        <v>109</v>
      </c>
      <c r="M15" s="61" t="s">
        <v>137</v>
      </c>
      <c r="N15" s="61" t="s">
        <v>138</v>
      </c>
      <c r="O15" s="68" t="s">
        <v>977</v>
      </c>
      <c r="P15" s="64" t="s">
        <v>702</v>
      </c>
      <c r="Q15" s="65" t="s">
        <v>703</v>
      </c>
      <c r="R15" s="56"/>
      <c r="S15" s="64" t="s">
        <v>20</v>
      </c>
      <c r="T15" s="66">
        <v>46210</v>
      </c>
      <c r="U15" s="64" t="s">
        <v>717</v>
      </c>
      <c r="V15" s="56"/>
      <c r="W15" s="64" t="s">
        <v>172</v>
      </c>
      <c r="X15" s="56"/>
      <c r="Y15" s="64" t="s">
        <v>991</v>
      </c>
      <c r="Z15" s="64"/>
      <c r="AA15" s="64"/>
      <c r="AB15" s="64"/>
    </row>
    <row r="16" spans="1:260" x14ac:dyDescent="0.2">
      <c r="B16" s="59">
        <f t="shared" si="1"/>
        <v>7</v>
      </c>
      <c r="C16" s="73"/>
      <c r="D16" s="60">
        <v>0</v>
      </c>
      <c r="E16" s="56"/>
      <c r="F16" s="61" t="s">
        <v>35</v>
      </c>
      <c r="G16" s="61" t="s">
        <v>73</v>
      </c>
      <c r="H16" s="61" t="s">
        <v>80</v>
      </c>
      <c r="I16" s="61" t="s">
        <v>81</v>
      </c>
      <c r="J16" s="62" t="s">
        <v>213</v>
      </c>
      <c r="K16" s="58"/>
      <c r="L16" s="61" t="s">
        <v>110</v>
      </c>
      <c r="M16" s="61" t="s">
        <v>139</v>
      </c>
      <c r="N16" s="62" t="s">
        <v>164</v>
      </c>
      <c r="O16" s="68" t="s">
        <v>978</v>
      </c>
      <c r="P16" s="64" t="s">
        <v>704</v>
      </c>
      <c r="Q16" s="65" t="s">
        <v>705</v>
      </c>
      <c r="R16" s="56"/>
      <c r="S16" s="64" t="s">
        <v>20</v>
      </c>
      <c r="T16" s="66">
        <v>46210</v>
      </c>
      <c r="U16" s="64" t="s">
        <v>716</v>
      </c>
      <c r="V16" s="56"/>
      <c r="W16" s="64" t="s">
        <v>173</v>
      </c>
      <c r="X16" s="56"/>
      <c r="Y16" s="64" t="s">
        <v>991</v>
      </c>
      <c r="Z16" s="64" t="s">
        <v>1117</v>
      </c>
      <c r="AA16" s="64" t="s">
        <v>1111</v>
      </c>
      <c r="AB16" s="64" t="s">
        <v>1118</v>
      </c>
    </row>
    <row r="17" spans="1:260" s="92" customFormat="1" x14ac:dyDescent="0.2">
      <c r="A17" s="51"/>
      <c r="B17" s="59">
        <f t="shared" si="1"/>
        <v>8</v>
      </c>
      <c r="C17" s="73" t="s">
        <v>1025</v>
      </c>
      <c r="D17" s="60">
        <v>0</v>
      </c>
      <c r="E17" s="96"/>
      <c r="F17" s="61" t="s">
        <v>36</v>
      </c>
      <c r="G17" s="61" t="s">
        <v>70</v>
      </c>
      <c r="H17" s="61" t="s">
        <v>71</v>
      </c>
      <c r="I17" s="61" t="s">
        <v>72</v>
      </c>
      <c r="J17" s="62" t="s">
        <v>214</v>
      </c>
      <c r="K17" s="97"/>
      <c r="L17" s="61"/>
      <c r="M17" s="61"/>
      <c r="N17" s="61"/>
      <c r="O17" s="68" t="s">
        <v>951</v>
      </c>
      <c r="P17" s="64" t="s">
        <v>714</v>
      </c>
      <c r="Q17" s="64"/>
      <c r="R17" s="96"/>
      <c r="S17" s="64" t="s">
        <v>1094</v>
      </c>
      <c r="T17" s="66"/>
      <c r="U17" s="64"/>
      <c r="V17" s="96"/>
      <c r="W17" s="64" t="s">
        <v>174</v>
      </c>
      <c r="X17" s="96"/>
      <c r="Y17" s="64" t="s">
        <v>983</v>
      </c>
      <c r="Z17" s="64"/>
      <c r="AA17" s="64"/>
      <c r="AB17" s="64"/>
      <c r="BI17" s="52"/>
      <c r="BJ17" s="52"/>
      <c r="BK17" s="52"/>
      <c r="BL17" s="52"/>
      <c r="BM17" s="52"/>
      <c r="BN17" s="52"/>
      <c r="BO17" s="52"/>
      <c r="BP17" s="52"/>
      <c r="BQ17" s="52"/>
      <c r="BR17" s="52"/>
      <c r="BS17" s="52"/>
      <c r="BT17" s="52"/>
      <c r="BU17" s="52"/>
      <c r="BV17" s="52"/>
      <c r="BW17" s="52"/>
      <c r="BX17" s="52"/>
      <c r="BY17" s="52"/>
      <c r="BZ17" s="52"/>
      <c r="CA17" s="52"/>
      <c r="CB17" s="52"/>
      <c r="CC17" s="52"/>
      <c r="CD17" s="52"/>
      <c r="CE17" s="52"/>
      <c r="CF17" s="52"/>
      <c r="CG17" s="52"/>
      <c r="CH17" s="52"/>
      <c r="CI17" s="52"/>
      <c r="CJ17" s="52"/>
      <c r="CK17" s="52"/>
      <c r="CL17" s="52"/>
      <c r="CM17" s="52"/>
      <c r="CN17" s="52"/>
      <c r="CO17" s="52"/>
      <c r="CP17" s="52"/>
      <c r="CQ17" s="52"/>
      <c r="CR17" s="52"/>
      <c r="CS17" s="52"/>
      <c r="CT17" s="52"/>
      <c r="CU17" s="52"/>
      <c r="CV17" s="52"/>
      <c r="CW17" s="52"/>
      <c r="CX17" s="52"/>
      <c r="CY17" s="52"/>
      <c r="CZ17" s="52"/>
      <c r="DA17" s="52"/>
      <c r="DB17" s="52"/>
      <c r="DC17" s="52"/>
      <c r="DD17" s="52"/>
      <c r="DE17" s="52"/>
      <c r="DF17" s="52"/>
      <c r="DG17" s="52"/>
      <c r="DH17" s="52"/>
      <c r="DI17" s="52"/>
      <c r="DJ17" s="52"/>
      <c r="DK17" s="52"/>
      <c r="DL17" s="52"/>
      <c r="DM17" s="52"/>
      <c r="DN17" s="52"/>
      <c r="DO17" s="52"/>
      <c r="DP17" s="52"/>
      <c r="DQ17" s="52"/>
      <c r="DR17" s="52"/>
      <c r="DS17" s="52"/>
      <c r="DT17" s="52"/>
      <c r="DU17" s="52"/>
      <c r="DV17" s="52"/>
      <c r="DW17" s="52"/>
      <c r="DX17" s="52"/>
      <c r="DY17" s="52"/>
      <c r="DZ17" s="52"/>
      <c r="EA17" s="52"/>
      <c r="EB17" s="52"/>
      <c r="EC17" s="52"/>
      <c r="ED17" s="52"/>
      <c r="EE17" s="52"/>
      <c r="EF17" s="52"/>
      <c r="EG17" s="52"/>
      <c r="EH17" s="52"/>
      <c r="EI17" s="52"/>
      <c r="EJ17" s="52"/>
      <c r="EK17" s="52"/>
      <c r="EL17" s="52"/>
      <c r="EM17" s="52"/>
      <c r="EN17" s="52"/>
      <c r="EO17" s="52"/>
      <c r="EP17" s="52"/>
      <c r="EQ17" s="52"/>
      <c r="ER17" s="52"/>
      <c r="ES17" s="52"/>
      <c r="ET17" s="52"/>
      <c r="EU17" s="52"/>
      <c r="EV17" s="52"/>
      <c r="EW17" s="52"/>
      <c r="EX17" s="52"/>
      <c r="EY17" s="52"/>
      <c r="EZ17" s="52"/>
      <c r="FA17" s="52"/>
      <c r="FB17" s="52"/>
      <c r="FC17" s="52"/>
      <c r="FD17" s="52"/>
      <c r="FE17" s="52"/>
      <c r="FF17" s="52"/>
      <c r="FG17" s="52"/>
      <c r="FH17" s="52"/>
      <c r="FI17" s="52"/>
      <c r="FJ17" s="52"/>
      <c r="FK17" s="52"/>
      <c r="FL17" s="52"/>
      <c r="FM17" s="52"/>
      <c r="FN17" s="52"/>
      <c r="FO17" s="52"/>
      <c r="FP17" s="52"/>
      <c r="FQ17" s="52"/>
      <c r="FR17" s="52"/>
      <c r="FS17" s="52"/>
      <c r="FT17" s="52"/>
      <c r="FU17" s="52"/>
      <c r="FV17" s="52"/>
      <c r="FW17" s="52"/>
      <c r="FX17" s="52"/>
      <c r="FY17" s="52"/>
      <c r="FZ17" s="52"/>
      <c r="GA17" s="52"/>
      <c r="GB17" s="52"/>
      <c r="GC17" s="52"/>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2"/>
      <c r="HP17" s="52"/>
      <c r="HQ17" s="52"/>
      <c r="HR17" s="52"/>
      <c r="HS17" s="52"/>
      <c r="HT17" s="52"/>
      <c r="HU17" s="52"/>
      <c r="HV17" s="52"/>
      <c r="HW17" s="52"/>
      <c r="HX17" s="52"/>
      <c r="HY17" s="52"/>
      <c r="HZ17" s="52"/>
      <c r="IA17" s="52"/>
      <c r="IB17" s="52"/>
      <c r="IC17" s="52"/>
      <c r="ID17" s="52"/>
      <c r="IE17" s="52"/>
      <c r="IF17" s="52"/>
      <c r="IG17" s="52"/>
      <c r="IH17" s="52"/>
      <c r="II17" s="52"/>
      <c r="IJ17" s="52"/>
      <c r="IK17" s="52"/>
      <c r="IL17" s="52"/>
      <c r="IM17" s="52"/>
      <c r="IN17" s="52"/>
      <c r="IO17" s="52"/>
      <c r="IP17" s="52"/>
      <c r="IQ17" s="52"/>
      <c r="IR17" s="52"/>
      <c r="IS17" s="52"/>
      <c r="IT17" s="52"/>
      <c r="IU17" s="52"/>
      <c r="IV17" s="52"/>
      <c r="IW17" s="52"/>
      <c r="IX17" s="52"/>
      <c r="IY17" s="52"/>
      <c r="IZ17" s="52"/>
    </row>
    <row r="18" spans="1:260" x14ac:dyDescent="0.2">
      <c r="B18" s="59">
        <f t="shared" si="1"/>
        <v>9</v>
      </c>
      <c r="C18" s="73"/>
      <c r="D18" s="60">
        <v>0</v>
      </c>
      <c r="E18" s="56"/>
      <c r="F18" s="61" t="s">
        <v>37</v>
      </c>
      <c r="G18" s="61" t="s">
        <v>73</v>
      </c>
      <c r="H18" s="61" t="s">
        <v>82</v>
      </c>
      <c r="I18" s="61" t="s">
        <v>77</v>
      </c>
      <c r="J18" s="62" t="s">
        <v>215</v>
      </c>
      <c r="K18" s="58"/>
      <c r="L18" s="61" t="s">
        <v>111</v>
      </c>
      <c r="M18" s="61" t="s">
        <v>136</v>
      </c>
      <c r="N18" s="61" t="s">
        <v>140</v>
      </c>
      <c r="O18" s="63" t="s">
        <v>724</v>
      </c>
      <c r="P18" s="64" t="s">
        <v>734</v>
      </c>
      <c r="Q18" s="65" t="s">
        <v>735</v>
      </c>
      <c r="R18" s="56"/>
      <c r="S18" s="64" t="s">
        <v>20</v>
      </c>
      <c r="T18" s="66">
        <v>46211</v>
      </c>
      <c r="U18" s="64" t="s">
        <v>717</v>
      </c>
      <c r="V18" s="56"/>
      <c r="W18" s="64" t="s">
        <v>175</v>
      </c>
      <c r="X18" s="56"/>
      <c r="Y18" s="64" t="s">
        <v>991</v>
      </c>
      <c r="Z18" s="64"/>
      <c r="AA18" s="64"/>
      <c r="AB18" s="64"/>
    </row>
    <row r="19" spans="1:260" x14ac:dyDescent="0.2">
      <c r="B19" s="59">
        <f t="shared" si="1"/>
        <v>10</v>
      </c>
      <c r="C19" s="73"/>
      <c r="D19" s="60">
        <v>0</v>
      </c>
      <c r="E19" s="56"/>
      <c r="F19" s="61" t="s">
        <v>38</v>
      </c>
      <c r="G19" s="61" t="s">
        <v>73</v>
      </c>
      <c r="H19" s="61" t="s">
        <v>83</v>
      </c>
      <c r="I19" s="61" t="s">
        <v>72</v>
      </c>
      <c r="J19" s="62" t="s">
        <v>216</v>
      </c>
      <c r="K19" s="58"/>
      <c r="L19" s="61" t="s">
        <v>112</v>
      </c>
      <c r="M19" s="61" t="s">
        <v>141</v>
      </c>
      <c r="N19" s="61" t="s">
        <v>142</v>
      </c>
      <c r="O19" s="64" t="s">
        <v>725</v>
      </c>
      <c r="P19" s="64" t="s">
        <v>736</v>
      </c>
      <c r="Q19" s="65" t="s">
        <v>737</v>
      </c>
      <c r="R19" s="56"/>
      <c r="S19" s="64" t="s">
        <v>20</v>
      </c>
      <c r="T19" s="66">
        <v>46210</v>
      </c>
      <c r="U19" s="64" t="s">
        <v>717</v>
      </c>
      <c r="V19" s="56"/>
      <c r="W19" s="64" t="s">
        <v>176</v>
      </c>
      <c r="X19" s="56"/>
      <c r="Y19" s="64" t="s">
        <v>991</v>
      </c>
      <c r="Z19" s="64"/>
      <c r="AA19" s="64"/>
      <c r="AB19" s="64"/>
    </row>
    <row r="20" spans="1:260" x14ac:dyDescent="0.2">
      <c r="B20" s="59">
        <f t="shared" si="1"/>
        <v>11</v>
      </c>
      <c r="C20" s="73"/>
      <c r="D20" s="60">
        <v>0</v>
      </c>
      <c r="E20" s="56"/>
      <c r="F20" s="61" t="s">
        <v>39</v>
      </c>
      <c r="G20" s="61" t="s">
        <v>73</v>
      </c>
      <c r="H20" s="61" t="s">
        <v>84</v>
      </c>
      <c r="I20" s="61" t="s">
        <v>85</v>
      </c>
      <c r="J20" s="62" t="s">
        <v>217</v>
      </c>
      <c r="K20" s="58"/>
      <c r="L20" s="61" t="s">
        <v>113</v>
      </c>
      <c r="M20" s="61" t="s">
        <v>143</v>
      </c>
      <c r="N20" s="61" t="s">
        <v>144</v>
      </c>
      <c r="O20" s="63" t="s">
        <v>723</v>
      </c>
      <c r="P20" s="64" t="s">
        <v>738</v>
      </c>
      <c r="Q20" s="64" t="s">
        <v>739</v>
      </c>
      <c r="R20" s="56"/>
      <c r="S20" s="64" t="s">
        <v>20</v>
      </c>
      <c r="T20" s="66">
        <v>46210</v>
      </c>
      <c r="U20" s="64" t="s">
        <v>717</v>
      </c>
      <c r="V20" s="56"/>
      <c r="W20" s="64" t="s">
        <v>177</v>
      </c>
      <c r="X20" s="56"/>
      <c r="Y20" s="64" t="s">
        <v>991</v>
      </c>
      <c r="Z20" s="64"/>
      <c r="AA20" s="64"/>
      <c r="AB20" s="64"/>
    </row>
    <row r="21" spans="1:260" x14ac:dyDescent="0.2">
      <c r="B21" s="59">
        <f t="shared" si="1"/>
        <v>12</v>
      </c>
      <c r="C21" s="73" t="s">
        <v>1025</v>
      </c>
      <c r="D21" s="60">
        <v>0</v>
      </c>
      <c r="E21" s="56"/>
      <c r="F21" s="61" t="s">
        <v>40</v>
      </c>
      <c r="G21" s="61" t="s">
        <v>70</v>
      </c>
      <c r="H21" s="61" t="s">
        <v>86</v>
      </c>
      <c r="I21" s="61" t="s">
        <v>77</v>
      </c>
      <c r="J21" s="62" t="s">
        <v>218</v>
      </c>
      <c r="K21" s="58"/>
      <c r="L21" s="61"/>
      <c r="M21" s="61"/>
      <c r="N21" s="61"/>
      <c r="O21" s="68" t="s">
        <v>740</v>
      </c>
      <c r="P21" s="64" t="s">
        <v>741</v>
      </c>
      <c r="Q21" s="65" t="s">
        <v>742</v>
      </c>
      <c r="R21" s="56"/>
      <c r="S21" s="64" t="s">
        <v>247</v>
      </c>
      <c r="T21" s="66"/>
      <c r="U21" s="64"/>
      <c r="V21" s="56"/>
      <c r="W21" s="64" t="s">
        <v>178</v>
      </c>
      <c r="X21" s="56"/>
      <c r="Y21" s="64" t="s">
        <v>982</v>
      </c>
      <c r="Z21" s="64"/>
      <c r="AA21" s="64"/>
      <c r="AB21" s="64"/>
    </row>
    <row r="22" spans="1:260" x14ac:dyDescent="0.2">
      <c r="B22" s="59">
        <f t="shared" si="1"/>
        <v>13</v>
      </c>
      <c r="C22" s="73"/>
      <c r="D22" s="60">
        <v>0</v>
      </c>
      <c r="E22" s="56"/>
      <c r="F22" s="61" t="s">
        <v>41</v>
      </c>
      <c r="G22" s="61" t="s">
        <v>87</v>
      </c>
      <c r="H22" s="61" t="s">
        <v>88</v>
      </c>
      <c r="I22" s="61" t="s">
        <v>75</v>
      </c>
      <c r="J22" s="62" t="s">
        <v>219</v>
      </c>
      <c r="K22" s="58"/>
      <c r="L22" s="61" t="s">
        <v>114</v>
      </c>
      <c r="M22" s="61" t="s">
        <v>145</v>
      </c>
      <c r="N22" s="61" t="s">
        <v>146</v>
      </c>
      <c r="O22" s="63" t="s">
        <v>950</v>
      </c>
      <c r="P22" s="64" t="s">
        <v>743</v>
      </c>
      <c r="Q22" s="65" t="s">
        <v>744</v>
      </c>
      <c r="R22" s="56"/>
      <c r="S22" s="64" t="s">
        <v>20</v>
      </c>
      <c r="T22" s="66">
        <v>46210</v>
      </c>
      <c r="U22" s="64" t="s">
        <v>717</v>
      </c>
      <c r="V22" s="56"/>
      <c r="W22" s="64" t="s">
        <v>179</v>
      </c>
      <c r="X22" s="56"/>
      <c r="Y22" s="64" t="s">
        <v>991</v>
      </c>
      <c r="Z22" s="64"/>
      <c r="AA22" s="64"/>
      <c r="AB22" s="64"/>
    </row>
    <row r="23" spans="1:260" x14ac:dyDescent="0.2">
      <c r="B23" s="59">
        <f t="shared" si="1"/>
        <v>14</v>
      </c>
      <c r="C23" s="73" t="s">
        <v>1025</v>
      </c>
      <c r="D23" s="59"/>
      <c r="E23" s="56"/>
      <c r="F23" s="61" t="s">
        <v>603</v>
      </c>
      <c r="G23" s="61" t="s">
        <v>73</v>
      </c>
      <c r="H23" s="61" t="s">
        <v>678</v>
      </c>
      <c r="I23" s="61" t="s">
        <v>72</v>
      </c>
      <c r="J23" s="61" t="s">
        <v>659</v>
      </c>
      <c r="K23" s="58"/>
      <c r="L23" s="61" t="s">
        <v>1089</v>
      </c>
      <c r="M23" s="61"/>
      <c r="N23" s="62" t="s">
        <v>1090</v>
      </c>
      <c r="O23" s="61" t="s">
        <v>680</v>
      </c>
      <c r="P23" s="64" t="s">
        <v>679</v>
      </c>
      <c r="Q23" s="61" t="s">
        <v>295</v>
      </c>
      <c r="R23" s="56"/>
      <c r="S23" s="64" t="s">
        <v>20</v>
      </c>
      <c r="T23" s="66">
        <v>46219</v>
      </c>
      <c r="U23" s="64"/>
      <c r="V23" s="56"/>
      <c r="W23" s="64" t="s">
        <v>677</v>
      </c>
      <c r="X23" s="56"/>
      <c r="Y23" s="64" t="s">
        <v>1092</v>
      </c>
      <c r="Z23" s="64"/>
      <c r="AA23" s="64"/>
      <c r="AB23" s="64"/>
    </row>
    <row r="24" spans="1:260" x14ac:dyDescent="0.2">
      <c r="B24" s="59">
        <f t="shared" si="1"/>
        <v>15</v>
      </c>
      <c r="C24" s="73"/>
      <c r="D24" s="60">
        <v>0</v>
      </c>
      <c r="E24" s="56"/>
      <c r="F24" s="61" t="s">
        <v>674</v>
      </c>
      <c r="G24" s="61" t="s">
        <v>73</v>
      </c>
      <c r="H24" s="61" t="s">
        <v>90</v>
      </c>
      <c r="I24" s="61" t="s">
        <v>85</v>
      </c>
      <c r="J24" s="62" t="s">
        <v>221</v>
      </c>
      <c r="K24" s="58"/>
      <c r="L24" s="61" t="s">
        <v>115</v>
      </c>
      <c r="M24" s="61" t="s">
        <v>147</v>
      </c>
      <c r="N24" s="61" t="s">
        <v>148</v>
      </c>
      <c r="O24" s="63" t="s">
        <v>726</v>
      </c>
      <c r="P24" s="64" t="s">
        <v>748</v>
      </c>
      <c r="Q24" s="65" t="s">
        <v>749</v>
      </c>
      <c r="R24" s="56"/>
      <c r="S24" s="64" t="s">
        <v>20</v>
      </c>
      <c r="T24" s="66">
        <v>46210</v>
      </c>
      <c r="U24" s="64" t="s">
        <v>717</v>
      </c>
      <c r="V24" s="56"/>
      <c r="W24" s="64" t="s">
        <v>181</v>
      </c>
      <c r="X24" s="56"/>
      <c r="Y24" s="64" t="s">
        <v>991</v>
      </c>
      <c r="Z24" s="64"/>
      <c r="AA24" s="64"/>
      <c r="AB24" s="64"/>
    </row>
    <row r="25" spans="1:260" s="92" customFormat="1" x14ac:dyDescent="0.2">
      <c r="A25" s="51"/>
      <c r="B25" s="59">
        <f t="shared" si="1"/>
        <v>16</v>
      </c>
      <c r="C25" s="73" t="s">
        <v>1025</v>
      </c>
      <c r="D25" s="60">
        <v>0</v>
      </c>
      <c r="E25" s="96"/>
      <c r="F25" s="61" t="s">
        <v>43</v>
      </c>
      <c r="G25" s="61" t="s">
        <v>87</v>
      </c>
      <c r="H25" s="61" t="s">
        <v>91</v>
      </c>
      <c r="I25" s="61" t="s">
        <v>72</v>
      </c>
      <c r="J25" s="62" t="s">
        <v>222</v>
      </c>
      <c r="K25" s="97"/>
      <c r="L25" s="61"/>
      <c r="M25" s="61"/>
      <c r="N25" s="61"/>
      <c r="O25" s="63" t="s">
        <v>727</v>
      </c>
      <c r="P25" s="64" t="s">
        <v>750</v>
      </c>
      <c r="Q25" s="64" t="s">
        <v>149</v>
      </c>
      <c r="R25" s="96"/>
      <c r="S25" s="64" t="s">
        <v>1094</v>
      </c>
      <c r="T25" s="66"/>
      <c r="U25" s="64"/>
      <c r="V25" s="96"/>
      <c r="W25" s="64" t="s">
        <v>182</v>
      </c>
      <c r="X25" s="96"/>
      <c r="Y25" s="64" t="s">
        <v>983</v>
      </c>
      <c r="Z25" s="64"/>
      <c r="AA25" s="64"/>
      <c r="AB25" s="64"/>
      <c r="BI25" s="52"/>
      <c r="BJ25" s="52"/>
      <c r="BK25" s="52"/>
      <c r="BL25" s="52"/>
      <c r="BM25" s="52"/>
      <c r="BN25" s="52"/>
      <c r="BO25" s="52"/>
      <c r="BP25" s="52"/>
      <c r="BQ25" s="52"/>
      <c r="BR25" s="52"/>
      <c r="BS25" s="52"/>
      <c r="BT25" s="52"/>
      <c r="BU25" s="52"/>
      <c r="BV25" s="52"/>
      <c r="BW25" s="52"/>
      <c r="BX25" s="52"/>
      <c r="BY25" s="52"/>
      <c r="BZ25" s="52"/>
      <c r="CA25" s="52"/>
      <c r="CB25" s="52"/>
      <c r="CC25" s="52"/>
      <c r="CD25" s="52"/>
      <c r="CE25" s="52"/>
      <c r="CF25" s="52"/>
      <c r="CG25" s="52"/>
      <c r="CH25" s="52"/>
      <c r="CI25" s="52"/>
      <c r="CJ25" s="52"/>
      <c r="CK25" s="52"/>
      <c r="CL25" s="52"/>
      <c r="CM25" s="52"/>
      <c r="CN25" s="52"/>
      <c r="CO25" s="52"/>
      <c r="CP25" s="52"/>
      <c r="CQ25" s="52"/>
      <c r="CR25" s="52"/>
      <c r="CS25" s="52"/>
      <c r="CT25" s="52"/>
      <c r="CU25" s="52"/>
      <c r="CV25" s="52"/>
      <c r="CW25" s="52"/>
      <c r="CX25" s="52"/>
      <c r="CY25" s="52"/>
      <c r="CZ25" s="52"/>
      <c r="DA25" s="52"/>
      <c r="DB25" s="52"/>
      <c r="DC25" s="52"/>
      <c r="DD25" s="52"/>
      <c r="DE25" s="52"/>
      <c r="DF25" s="52"/>
      <c r="DG25" s="52"/>
      <c r="DH25" s="52"/>
      <c r="DI25" s="52"/>
      <c r="DJ25" s="52"/>
      <c r="DK25" s="52"/>
      <c r="DL25" s="52"/>
      <c r="DM25" s="52"/>
      <c r="DN25" s="52"/>
      <c r="DO25" s="52"/>
      <c r="DP25" s="52"/>
      <c r="DQ25" s="52"/>
      <c r="DR25" s="52"/>
      <c r="DS25" s="52"/>
      <c r="DT25" s="52"/>
      <c r="DU25" s="52"/>
      <c r="DV25" s="52"/>
      <c r="DW25" s="52"/>
      <c r="DX25" s="52"/>
      <c r="DY25" s="52"/>
      <c r="DZ25" s="52"/>
      <c r="EA25" s="52"/>
      <c r="EB25" s="52"/>
      <c r="EC25" s="52"/>
      <c r="ED25" s="52"/>
      <c r="EE25" s="52"/>
      <c r="EF25" s="52"/>
      <c r="EG25" s="52"/>
      <c r="EH25" s="52"/>
      <c r="EI25" s="52"/>
      <c r="EJ25" s="52"/>
      <c r="EK25" s="52"/>
      <c r="EL25" s="52"/>
      <c r="EM25" s="52"/>
      <c r="EN25" s="52"/>
      <c r="EO25" s="52"/>
      <c r="EP25" s="52"/>
      <c r="EQ25" s="52"/>
      <c r="ER25" s="52"/>
      <c r="ES25" s="52"/>
      <c r="ET25" s="52"/>
      <c r="EU25" s="52"/>
      <c r="EV25" s="52"/>
      <c r="EW25" s="52"/>
      <c r="EX25" s="52"/>
      <c r="EY25" s="52"/>
      <c r="EZ25" s="52"/>
      <c r="FA25" s="52"/>
      <c r="FB25" s="52"/>
      <c r="FC25" s="52"/>
      <c r="FD25" s="52"/>
      <c r="FE25" s="52"/>
      <c r="FF25" s="52"/>
      <c r="FG25" s="52"/>
      <c r="FH25" s="52"/>
      <c r="FI25" s="52"/>
      <c r="FJ25" s="52"/>
      <c r="FK25" s="52"/>
      <c r="FL25" s="52"/>
      <c r="FM25" s="52"/>
      <c r="FN25" s="52"/>
      <c r="FO25" s="52"/>
      <c r="FP25" s="52"/>
      <c r="FQ25" s="52"/>
      <c r="FR25" s="52"/>
      <c r="FS25" s="52"/>
      <c r="FT25" s="52"/>
      <c r="FU25" s="52"/>
      <c r="FV25" s="52"/>
      <c r="FW25" s="52"/>
      <c r="FX25" s="52"/>
      <c r="FY25" s="52"/>
      <c r="FZ25" s="52"/>
      <c r="GA25" s="52"/>
      <c r="GB25" s="52"/>
      <c r="GC25" s="52"/>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2"/>
      <c r="HP25" s="52"/>
      <c r="HQ25" s="52"/>
      <c r="HR25" s="52"/>
      <c r="HS25" s="52"/>
      <c r="HT25" s="52"/>
      <c r="HU25" s="52"/>
      <c r="HV25" s="52"/>
      <c r="HW25" s="52"/>
      <c r="HX25" s="52"/>
      <c r="HY25" s="52"/>
      <c r="HZ25" s="52"/>
      <c r="IA25" s="52"/>
      <c r="IB25" s="52"/>
      <c r="IC25" s="52"/>
      <c r="ID25" s="52"/>
      <c r="IE25" s="52"/>
      <c r="IF25" s="52"/>
      <c r="IG25" s="52"/>
      <c r="IH25" s="52"/>
      <c r="II25" s="52"/>
      <c r="IJ25" s="52"/>
      <c r="IK25" s="52"/>
      <c r="IL25" s="52"/>
      <c r="IM25" s="52"/>
      <c r="IN25" s="52"/>
      <c r="IO25" s="52"/>
      <c r="IP25" s="52"/>
      <c r="IQ25" s="52"/>
      <c r="IR25" s="52"/>
      <c r="IS25" s="52"/>
      <c r="IT25" s="52"/>
      <c r="IU25" s="52"/>
      <c r="IV25" s="52"/>
      <c r="IW25" s="52"/>
      <c r="IX25" s="52"/>
      <c r="IY25" s="52"/>
      <c r="IZ25" s="52"/>
    </row>
    <row r="26" spans="1:260" x14ac:dyDescent="0.2">
      <c r="B26" s="59">
        <f t="shared" si="1"/>
        <v>17</v>
      </c>
      <c r="C26" s="73" t="s">
        <v>1039</v>
      </c>
      <c r="D26" s="60"/>
      <c r="E26" s="56"/>
      <c r="F26" s="61" t="s">
        <v>356</v>
      </c>
      <c r="G26" s="61" t="s">
        <v>73</v>
      </c>
      <c r="H26" s="61" t="s">
        <v>389</v>
      </c>
      <c r="I26" s="61" t="s">
        <v>72</v>
      </c>
      <c r="J26" s="62" t="s">
        <v>490</v>
      </c>
      <c r="K26" s="58"/>
      <c r="L26" s="61" t="s">
        <v>996</v>
      </c>
      <c r="M26" s="61" t="s">
        <v>1053</v>
      </c>
      <c r="N26" s="62" t="s">
        <v>1052</v>
      </c>
      <c r="O26" s="63" t="s">
        <v>915</v>
      </c>
      <c r="P26" s="64" t="s">
        <v>914</v>
      </c>
      <c r="Q26" s="64"/>
      <c r="R26" s="56"/>
      <c r="S26" s="64" t="s">
        <v>20</v>
      </c>
      <c r="T26" s="66">
        <v>46219</v>
      </c>
      <c r="U26" s="64"/>
      <c r="V26" s="56"/>
      <c r="W26" s="64" t="s">
        <v>423</v>
      </c>
      <c r="X26" s="56"/>
      <c r="Y26" s="64" t="s">
        <v>991</v>
      </c>
      <c r="Z26" s="64"/>
      <c r="AA26" s="64"/>
      <c r="AB26" s="64"/>
    </row>
    <row r="27" spans="1:260" x14ac:dyDescent="0.2">
      <c r="B27" s="59">
        <f t="shared" si="1"/>
        <v>18</v>
      </c>
      <c r="C27" s="73" t="s">
        <v>1025</v>
      </c>
      <c r="D27" s="60">
        <v>0</v>
      </c>
      <c r="E27" s="56"/>
      <c r="F27" s="61" t="s">
        <v>69</v>
      </c>
      <c r="G27" s="61" t="s">
        <v>73</v>
      </c>
      <c r="H27" s="61" t="s">
        <v>105</v>
      </c>
      <c r="I27" s="61" t="s">
        <v>72</v>
      </c>
      <c r="J27" s="62" t="s">
        <v>252</v>
      </c>
      <c r="K27" s="58"/>
      <c r="L27" s="61" t="s">
        <v>129</v>
      </c>
      <c r="M27" s="61" t="s">
        <v>302</v>
      </c>
      <c r="N27" s="62" t="s">
        <v>792</v>
      </c>
      <c r="O27" s="68" t="s">
        <v>964</v>
      </c>
      <c r="P27" s="64" t="s">
        <v>791</v>
      </c>
      <c r="Q27" s="65" t="s">
        <v>793</v>
      </c>
      <c r="R27" s="56"/>
      <c r="S27" s="64" t="s">
        <v>20</v>
      </c>
      <c r="T27" s="66">
        <v>46219</v>
      </c>
      <c r="U27" s="64"/>
      <c r="V27" s="56"/>
      <c r="W27" s="64" t="s">
        <v>207</v>
      </c>
      <c r="X27" s="56"/>
      <c r="Y27" s="64" t="s">
        <v>991</v>
      </c>
      <c r="Z27" s="64"/>
      <c r="AA27" s="64"/>
      <c r="AB27" s="64"/>
    </row>
    <row r="28" spans="1:260" s="92" customFormat="1" x14ac:dyDescent="0.2">
      <c r="A28" s="51"/>
      <c r="B28" s="59">
        <f t="shared" si="1"/>
        <v>19</v>
      </c>
      <c r="C28" s="73" t="s">
        <v>1025</v>
      </c>
      <c r="D28" s="60">
        <v>0</v>
      </c>
      <c r="E28" s="96"/>
      <c r="F28" s="61" t="s">
        <v>46</v>
      </c>
      <c r="G28" s="61" t="s">
        <v>73</v>
      </c>
      <c r="H28" s="61" t="s">
        <v>95</v>
      </c>
      <c r="I28" s="61" t="s">
        <v>72</v>
      </c>
      <c r="J28" s="62" t="s">
        <v>225</v>
      </c>
      <c r="K28" s="97"/>
      <c r="L28" s="61"/>
      <c r="M28" s="61"/>
      <c r="N28" s="61"/>
      <c r="O28" s="63" t="s">
        <v>722</v>
      </c>
      <c r="P28" s="64" t="s">
        <v>757</v>
      </c>
      <c r="Q28" s="61"/>
      <c r="R28" s="96"/>
      <c r="S28" s="64" t="s">
        <v>1001</v>
      </c>
      <c r="T28" s="66">
        <v>46217</v>
      </c>
      <c r="U28" s="64" t="s">
        <v>972</v>
      </c>
      <c r="V28" s="96"/>
      <c r="W28" s="64" t="s">
        <v>185</v>
      </c>
      <c r="X28" s="96"/>
      <c r="Y28" s="64" t="s">
        <v>983</v>
      </c>
      <c r="Z28" s="64" t="s">
        <v>1123</v>
      </c>
      <c r="AA28" s="64" t="s">
        <v>295</v>
      </c>
      <c r="AB28" s="64" t="s">
        <v>295</v>
      </c>
      <c r="BI28" s="52"/>
      <c r="BJ28" s="52"/>
      <c r="BK28" s="52"/>
      <c r="BL28" s="52"/>
      <c r="BM28" s="52"/>
      <c r="BN28" s="52"/>
      <c r="BO28" s="52"/>
      <c r="BP28" s="52"/>
      <c r="BQ28" s="52"/>
      <c r="BR28" s="52"/>
      <c r="BS28" s="52"/>
      <c r="BT28" s="52"/>
      <c r="BU28" s="52"/>
      <c r="BV28" s="52"/>
      <c r="BW28" s="52"/>
      <c r="BX28" s="52"/>
      <c r="BY28" s="52"/>
      <c r="BZ28" s="52"/>
      <c r="CA28" s="52"/>
      <c r="CB28" s="52"/>
      <c r="CC28" s="52"/>
      <c r="CD28" s="52"/>
      <c r="CE28" s="52"/>
      <c r="CF28" s="52"/>
      <c r="CG28" s="52"/>
      <c r="CH28" s="52"/>
      <c r="CI28" s="52"/>
      <c r="CJ28" s="52"/>
      <c r="CK28" s="52"/>
      <c r="CL28" s="52"/>
      <c r="CM28" s="52"/>
      <c r="CN28" s="52"/>
      <c r="CO28" s="52"/>
      <c r="CP28" s="52"/>
      <c r="CQ28" s="52"/>
      <c r="CR28" s="52"/>
      <c r="CS28" s="52"/>
      <c r="CT28" s="52"/>
      <c r="CU28" s="52"/>
      <c r="CV28" s="52"/>
      <c r="CW28" s="52"/>
      <c r="CX28" s="52"/>
      <c r="CY28" s="52"/>
      <c r="CZ28" s="52"/>
      <c r="DA28" s="52"/>
      <c r="DB28" s="52"/>
      <c r="DC28" s="52"/>
      <c r="DD28" s="52"/>
      <c r="DE28" s="52"/>
      <c r="DF28" s="52"/>
      <c r="DG28" s="52"/>
      <c r="DH28" s="52"/>
      <c r="DI28" s="52"/>
      <c r="DJ28" s="52"/>
      <c r="DK28" s="52"/>
      <c r="DL28" s="52"/>
      <c r="DM28" s="52"/>
      <c r="DN28" s="52"/>
      <c r="DO28" s="52"/>
      <c r="DP28" s="52"/>
      <c r="DQ28" s="52"/>
      <c r="DR28" s="52"/>
      <c r="DS28" s="52"/>
      <c r="DT28" s="52"/>
      <c r="DU28" s="52"/>
      <c r="DV28" s="52"/>
      <c r="DW28" s="52"/>
      <c r="DX28" s="52"/>
      <c r="DY28" s="52"/>
      <c r="DZ28" s="52"/>
      <c r="EA28" s="52"/>
      <c r="EB28" s="52"/>
      <c r="EC28" s="52"/>
      <c r="ED28" s="52"/>
      <c r="EE28" s="52"/>
      <c r="EF28" s="52"/>
      <c r="EG28" s="52"/>
      <c r="EH28" s="52"/>
      <c r="EI28" s="52"/>
      <c r="EJ28" s="52"/>
      <c r="EK28" s="52"/>
      <c r="EL28" s="52"/>
      <c r="EM28" s="52"/>
      <c r="EN28" s="52"/>
      <c r="EO28" s="52"/>
      <c r="EP28" s="52"/>
      <c r="EQ28" s="52"/>
      <c r="ER28" s="52"/>
      <c r="ES28" s="52"/>
      <c r="ET28" s="52"/>
      <c r="EU28" s="52"/>
      <c r="EV28" s="52"/>
      <c r="EW28" s="52"/>
      <c r="EX28" s="52"/>
      <c r="EY28" s="52"/>
      <c r="EZ28" s="52"/>
      <c r="FA28" s="52"/>
      <c r="FB28" s="52"/>
      <c r="FC28" s="52"/>
      <c r="FD28" s="52"/>
      <c r="FE28" s="52"/>
      <c r="FF28" s="52"/>
      <c r="FG28" s="52"/>
      <c r="FH28" s="52"/>
      <c r="FI28" s="52"/>
      <c r="FJ28" s="52"/>
      <c r="FK28" s="52"/>
      <c r="FL28" s="52"/>
      <c r="FM28" s="52"/>
      <c r="FN28" s="52"/>
      <c r="FO28" s="52"/>
      <c r="FP28" s="52"/>
      <c r="FQ28" s="52"/>
      <c r="FR28" s="52"/>
      <c r="FS28" s="52"/>
      <c r="FT28" s="52"/>
      <c r="FU28" s="52"/>
      <c r="FV28" s="52"/>
      <c r="FW28" s="52"/>
      <c r="FX28" s="52"/>
      <c r="FY28" s="52"/>
      <c r="FZ28" s="52"/>
      <c r="GA28" s="52"/>
      <c r="GB28" s="52"/>
      <c r="GC28" s="52"/>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2"/>
      <c r="HP28" s="52"/>
      <c r="HQ28" s="52"/>
      <c r="HR28" s="52"/>
      <c r="HS28" s="52"/>
      <c r="HT28" s="52"/>
      <c r="HU28" s="52"/>
      <c r="HV28" s="52"/>
      <c r="HW28" s="52"/>
      <c r="HX28" s="52"/>
      <c r="HY28" s="52"/>
      <c r="HZ28" s="52"/>
      <c r="IA28" s="52"/>
      <c r="IB28" s="52"/>
      <c r="IC28" s="52"/>
      <c r="ID28" s="52"/>
      <c r="IE28" s="52"/>
      <c r="IF28" s="52"/>
      <c r="IG28" s="52"/>
      <c r="IH28" s="52"/>
      <c r="II28" s="52"/>
      <c r="IJ28" s="52"/>
      <c r="IK28" s="52"/>
      <c r="IL28" s="52"/>
      <c r="IM28" s="52"/>
      <c r="IN28" s="52"/>
      <c r="IO28" s="52"/>
      <c r="IP28" s="52"/>
      <c r="IQ28" s="52"/>
      <c r="IR28" s="52"/>
      <c r="IS28" s="52"/>
      <c r="IT28" s="52"/>
      <c r="IU28" s="52"/>
      <c r="IV28" s="52"/>
      <c r="IW28" s="52"/>
      <c r="IX28" s="52"/>
      <c r="IY28" s="52"/>
      <c r="IZ28" s="52"/>
    </row>
    <row r="29" spans="1:260" x14ac:dyDescent="0.2">
      <c r="B29" s="59">
        <f t="shared" si="1"/>
        <v>20</v>
      </c>
      <c r="C29" s="73" t="s">
        <v>1025</v>
      </c>
      <c r="D29" s="60">
        <v>0</v>
      </c>
      <c r="E29" s="56"/>
      <c r="F29" s="61" t="s">
        <v>33</v>
      </c>
      <c r="G29" s="61" t="s">
        <v>73</v>
      </c>
      <c r="H29" s="61" t="s">
        <v>248</v>
      </c>
      <c r="I29" s="61" t="s">
        <v>75</v>
      </c>
      <c r="J29" s="62" t="s">
        <v>211</v>
      </c>
      <c r="K29" s="58"/>
      <c r="L29" s="61" t="s">
        <v>700</v>
      </c>
      <c r="M29" s="61" t="s">
        <v>302</v>
      </c>
      <c r="N29" s="62" t="s">
        <v>1016</v>
      </c>
      <c r="O29" s="68" t="s">
        <v>976</v>
      </c>
      <c r="P29" s="64" t="s">
        <v>701</v>
      </c>
      <c r="Q29" s="65" t="s">
        <v>699</v>
      </c>
      <c r="R29" s="56"/>
      <c r="S29" s="64" t="s">
        <v>20</v>
      </c>
      <c r="T29" s="66">
        <v>46219</v>
      </c>
      <c r="U29" s="64"/>
      <c r="V29" s="56"/>
      <c r="W29" s="64" t="s">
        <v>171</v>
      </c>
      <c r="X29" s="56"/>
      <c r="Y29" s="64"/>
      <c r="Z29" s="64"/>
      <c r="AA29" s="64"/>
      <c r="AB29" s="64"/>
    </row>
    <row r="30" spans="1:260" x14ac:dyDescent="0.2">
      <c r="B30" s="59">
        <f t="shared" si="1"/>
        <v>21</v>
      </c>
      <c r="C30" s="73"/>
      <c r="D30" s="60">
        <v>0</v>
      </c>
      <c r="E30" s="56"/>
      <c r="F30" s="61" t="s">
        <v>48</v>
      </c>
      <c r="G30" s="61" t="s">
        <v>73</v>
      </c>
      <c r="H30" s="61" t="s">
        <v>97</v>
      </c>
      <c r="I30" s="61" t="s">
        <v>75</v>
      </c>
      <c r="J30" s="62" t="s">
        <v>227</v>
      </c>
      <c r="K30" s="58"/>
      <c r="L30" s="61" t="s">
        <v>996</v>
      </c>
      <c r="M30" s="61"/>
      <c r="N30" s="62" t="s">
        <v>992</v>
      </c>
      <c r="O30" s="63" t="s">
        <v>728</v>
      </c>
      <c r="P30" s="64" t="s">
        <v>759</v>
      </c>
      <c r="Q30" s="61" t="s">
        <v>295</v>
      </c>
      <c r="R30" s="56"/>
      <c r="S30" s="64" t="s">
        <v>20</v>
      </c>
      <c r="T30" s="66">
        <v>46211</v>
      </c>
      <c r="U30" s="64" t="s">
        <v>717</v>
      </c>
      <c r="V30" s="56"/>
      <c r="W30" s="64" t="s">
        <v>187</v>
      </c>
      <c r="X30" s="56"/>
      <c r="Y30" s="64" t="s">
        <v>993</v>
      </c>
      <c r="Z30" s="64"/>
      <c r="AA30" s="64"/>
      <c r="AB30" s="64"/>
    </row>
    <row r="31" spans="1:260" x14ac:dyDescent="0.2">
      <c r="B31" s="59">
        <f t="shared" si="1"/>
        <v>22</v>
      </c>
      <c r="C31" s="73"/>
      <c r="D31" s="60">
        <v>0</v>
      </c>
      <c r="E31" s="56"/>
      <c r="F31" s="61" t="s">
        <v>49</v>
      </c>
      <c r="G31" s="61" t="s">
        <v>73</v>
      </c>
      <c r="H31" s="61" t="s">
        <v>98</v>
      </c>
      <c r="I31" s="61" t="s">
        <v>75</v>
      </c>
      <c r="J31" s="62" t="s">
        <v>228</v>
      </c>
      <c r="K31" s="58"/>
      <c r="L31" s="61" t="s">
        <v>117</v>
      </c>
      <c r="M31" s="61" t="s">
        <v>139</v>
      </c>
      <c r="N31" s="61" t="s">
        <v>150</v>
      </c>
      <c r="O31" s="63" t="s">
        <v>953</v>
      </c>
      <c r="P31" s="64" t="s">
        <v>760</v>
      </c>
      <c r="Q31" s="65" t="s">
        <v>761</v>
      </c>
      <c r="R31" s="56"/>
      <c r="S31" s="64" t="s">
        <v>20</v>
      </c>
      <c r="T31" s="66">
        <v>46210</v>
      </c>
      <c r="U31" s="64" t="s">
        <v>972</v>
      </c>
      <c r="V31" s="56"/>
      <c r="W31" s="64" t="s">
        <v>188</v>
      </c>
      <c r="X31" s="56"/>
      <c r="Y31" s="64" t="s">
        <v>991</v>
      </c>
      <c r="Z31" s="64" t="s">
        <v>1122</v>
      </c>
      <c r="AA31" s="64" t="s">
        <v>295</v>
      </c>
      <c r="AB31" s="64" t="s">
        <v>295</v>
      </c>
    </row>
    <row r="32" spans="1:260" s="92" customFormat="1" x14ac:dyDescent="0.2">
      <c r="A32" s="51"/>
      <c r="B32" s="59">
        <f t="shared" si="1"/>
        <v>23</v>
      </c>
      <c r="C32" s="73" t="s">
        <v>1025</v>
      </c>
      <c r="D32" s="60">
        <v>0</v>
      </c>
      <c r="E32" s="96"/>
      <c r="F32" s="61" t="s">
        <v>50</v>
      </c>
      <c r="G32" s="61" t="s">
        <v>73</v>
      </c>
      <c r="H32" s="61" t="s">
        <v>97</v>
      </c>
      <c r="I32" s="61" t="s">
        <v>72</v>
      </c>
      <c r="J32" s="62" t="s">
        <v>295</v>
      </c>
      <c r="K32" s="97"/>
      <c r="L32" s="61" t="s">
        <v>118</v>
      </c>
      <c r="M32" s="61" t="s">
        <v>151</v>
      </c>
      <c r="N32" s="61"/>
      <c r="O32" s="68" t="s">
        <v>954</v>
      </c>
      <c r="P32" s="64" t="s">
        <v>762</v>
      </c>
      <c r="Q32" s="64"/>
      <c r="R32" s="96"/>
      <c r="S32" s="64" t="s">
        <v>1094</v>
      </c>
      <c r="T32" s="66"/>
      <c r="U32" s="64"/>
      <c r="V32" s="96"/>
      <c r="W32" s="64" t="s">
        <v>189</v>
      </c>
      <c r="X32" s="96"/>
      <c r="Y32" s="64" t="s">
        <v>983</v>
      </c>
      <c r="Z32" s="64"/>
      <c r="AA32" s="64"/>
      <c r="AB32" s="64"/>
      <c r="BI32" s="52"/>
      <c r="BJ32" s="52"/>
      <c r="BK32" s="52"/>
      <c r="BL32" s="52"/>
      <c r="BM32" s="52"/>
      <c r="BN32" s="52"/>
      <c r="BO32" s="52"/>
      <c r="BP32" s="52"/>
      <c r="BQ32" s="52"/>
      <c r="BR32" s="52"/>
      <c r="BS32" s="52"/>
      <c r="BT32" s="52"/>
      <c r="BU32" s="52"/>
      <c r="BV32" s="52"/>
      <c r="BW32" s="52"/>
      <c r="BX32" s="52"/>
      <c r="BY32" s="52"/>
      <c r="BZ32" s="52"/>
      <c r="CA32" s="52"/>
      <c r="CB32" s="52"/>
      <c r="CC32" s="52"/>
      <c r="CD32" s="52"/>
      <c r="CE32" s="52"/>
      <c r="CF32" s="52"/>
      <c r="CG32" s="52"/>
      <c r="CH32" s="52"/>
      <c r="CI32" s="52"/>
      <c r="CJ32" s="52"/>
      <c r="CK32" s="52"/>
      <c r="CL32" s="52"/>
      <c r="CM32" s="52"/>
      <c r="CN32" s="52"/>
      <c r="CO32" s="52"/>
      <c r="CP32" s="52"/>
      <c r="CQ32" s="52"/>
      <c r="CR32" s="52"/>
      <c r="CS32" s="52"/>
      <c r="CT32" s="52"/>
      <c r="CU32" s="52"/>
      <c r="CV32" s="52"/>
      <c r="CW32" s="52"/>
      <c r="CX32" s="52"/>
      <c r="CY32" s="52"/>
      <c r="CZ32" s="52"/>
      <c r="DA32" s="52"/>
      <c r="DB32" s="52"/>
      <c r="DC32" s="52"/>
      <c r="DD32" s="52"/>
      <c r="DE32" s="52"/>
      <c r="DF32" s="52"/>
      <c r="DG32" s="52"/>
      <c r="DH32" s="52"/>
      <c r="DI32" s="52"/>
      <c r="DJ32" s="52"/>
      <c r="DK32" s="52"/>
      <c r="DL32" s="52"/>
      <c r="DM32" s="52"/>
      <c r="DN32" s="52"/>
      <c r="DO32" s="52"/>
      <c r="DP32" s="52"/>
      <c r="DQ32" s="52"/>
      <c r="DR32" s="52"/>
      <c r="DS32" s="52"/>
      <c r="DT32" s="52"/>
      <c r="DU32" s="52"/>
      <c r="DV32" s="52"/>
      <c r="DW32" s="52"/>
      <c r="DX32" s="52"/>
      <c r="DY32" s="52"/>
      <c r="DZ32" s="52"/>
      <c r="EA32" s="52"/>
      <c r="EB32" s="52"/>
      <c r="EC32" s="52"/>
      <c r="ED32" s="52"/>
      <c r="EE32" s="52"/>
      <c r="EF32" s="52"/>
      <c r="EG32" s="52"/>
      <c r="EH32" s="52"/>
      <c r="EI32" s="52"/>
      <c r="EJ32" s="52"/>
      <c r="EK32" s="52"/>
      <c r="EL32" s="52"/>
      <c r="EM32" s="52"/>
      <c r="EN32" s="52"/>
      <c r="EO32" s="52"/>
      <c r="EP32" s="52"/>
      <c r="EQ32" s="52"/>
      <c r="ER32" s="52"/>
      <c r="ES32" s="52"/>
      <c r="ET32" s="52"/>
      <c r="EU32" s="52"/>
      <c r="EV32" s="52"/>
      <c r="EW32" s="52"/>
      <c r="EX32" s="52"/>
      <c r="EY32" s="52"/>
      <c r="EZ32" s="52"/>
      <c r="FA32" s="52"/>
      <c r="FB32" s="52"/>
      <c r="FC32" s="52"/>
      <c r="FD32" s="52"/>
      <c r="FE32" s="52"/>
      <c r="FF32" s="52"/>
      <c r="FG32" s="52"/>
      <c r="FH32" s="52"/>
      <c r="FI32" s="52"/>
      <c r="FJ32" s="52"/>
      <c r="FK32" s="52"/>
      <c r="FL32" s="52"/>
      <c r="FM32" s="52"/>
      <c r="FN32" s="52"/>
      <c r="FO32" s="52"/>
      <c r="FP32" s="52"/>
      <c r="FQ32" s="52"/>
      <c r="FR32" s="52"/>
      <c r="FS32" s="52"/>
      <c r="FT32" s="52"/>
      <c r="FU32" s="52"/>
      <c r="FV32" s="52"/>
      <c r="FW32" s="52"/>
      <c r="FX32" s="52"/>
      <c r="FY32" s="52"/>
      <c r="FZ32" s="52"/>
      <c r="GA32" s="52"/>
      <c r="GB32" s="52"/>
      <c r="GC32" s="52"/>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2"/>
      <c r="HP32" s="52"/>
      <c r="HQ32" s="52"/>
      <c r="HR32" s="52"/>
      <c r="HS32" s="52"/>
      <c r="HT32" s="52"/>
      <c r="HU32" s="52"/>
      <c r="HV32" s="52"/>
      <c r="HW32" s="52"/>
      <c r="HX32" s="52"/>
      <c r="HY32" s="52"/>
      <c r="HZ32" s="52"/>
      <c r="IA32" s="52"/>
      <c r="IB32" s="52"/>
      <c r="IC32" s="52"/>
      <c r="ID32" s="52"/>
      <c r="IE32" s="52"/>
      <c r="IF32" s="52"/>
      <c r="IG32" s="52"/>
      <c r="IH32" s="52"/>
      <c r="II32" s="52"/>
      <c r="IJ32" s="52"/>
      <c r="IK32" s="52"/>
      <c r="IL32" s="52"/>
      <c r="IM32" s="52"/>
      <c r="IN32" s="52"/>
      <c r="IO32" s="52"/>
      <c r="IP32" s="52"/>
      <c r="IQ32" s="52"/>
      <c r="IR32" s="52"/>
      <c r="IS32" s="52"/>
      <c r="IT32" s="52"/>
      <c r="IU32" s="52"/>
      <c r="IV32" s="52"/>
      <c r="IW32" s="52"/>
      <c r="IX32" s="52"/>
      <c r="IY32" s="52"/>
      <c r="IZ32" s="52"/>
    </row>
    <row r="33" spans="1:260" x14ac:dyDescent="0.2">
      <c r="B33" s="59">
        <f t="shared" si="1"/>
        <v>24</v>
      </c>
      <c r="C33" s="73"/>
      <c r="D33" s="60">
        <v>0</v>
      </c>
      <c r="E33" s="56"/>
      <c r="F33" s="61" t="s">
        <v>51</v>
      </c>
      <c r="G33" s="61" t="s">
        <v>73</v>
      </c>
      <c r="H33" s="61" t="s">
        <v>99</v>
      </c>
      <c r="I33" s="61" t="s">
        <v>85</v>
      </c>
      <c r="J33" s="62" t="s">
        <v>229</v>
      </c>
      <c r="K33" s="58"/>
      <c r="L33" s="61" t="s">
        <v>119</v>
      </c>
      <c r="M33" s="61" t="s">
        <v>141</v>
      </c>
      <c r="N33" s="62" t="s">
        <v>763</v>
      </c>
      <c r="O33" s="63" t="s">
        <v>957</v>
      </c>
      <c r="P33" s="64" t="s">
        <v>765</v>
      </c>
      <c r="Q33" s="65" t="s">
        <v>764</v>
      </c>
      <c r="R33" s="56"/>
      <c r="S33" s="64" t="s">
        <v>1015</v>
      </c>
      <c r="T33" s="66">
        <v>46211</v>
      </c>
      <c r="U33" s="64" t="s">
        <v>717</v>
      </c>
      <c r="V33" s="56"/>
      <c r="W33" s="64" t="s">
        <v>190</v>
      </c>
      <c r="X33" s="56"/>
      <c r="Y33" s="64" t="s">
        <v>991</v>
      </c>
      <c r="Z33" s="64"/>
      <c r="AA33" s="64"/>
      <c r="AB33" s="64"/>
    </row>
    <row r="34" spans="1:260" x14ac:dyDescent="0.2">
      <c r="B34" s="59">
        <f t="shared" si="1"/>
        <v>25</v>
      </c>
      <c r="C34" s="73"/>
      <c r="D34" s="60">
        <v>0</v>
      </c>
      <c r="E34" s="56"/>
      <c r="F34" s="61" t="s">
        <v>52</v>
      </c>
      <c r="G34" s="61" t="s">
        <v>73</v>
      </c>
      <c r="H34" s="61" t="s">
        <v>100</v>
      </c>
      <c r="I34" s="61" t="s">
        <v>85</v>
      </c>
      <c r="J34" s="62" t="s">
        <v>230</v>
      </c>
      <c r="K34" s="58"/>
      <c r="L34" s="61" t="s">
        <v>120</v>
      </c>
      <c r="M34" s="61" t="s">
        <v>152</v>
      </c>
      <c r="N34" s="61" t="s">
        <v>153</v>
      </c>
      <c r="O34" s="63" t="s">
        <v>729</v>
      </c>
      <c r="P34" s="64" t="s">
        <v>766</v>
      </c>
      <c r="Q34" s="65" t="s">
        <v>767</v>
      </c>
      <c r="R34" s="56"/>
      <c r="S34" s="64" t="s">
        <v>20</v>
      </c>
      <c r="T34" s="66">
        <v>46211</v>
      </c>
      <c r="U34" s="64" t="s">
        <v>717</v>
      </c>
      <c r="V34" s="56"/>
      <c r="W34" s="64" t="s">
        <v>191</v>
      </c>
      <c r="X34" s="56"/>
      <c r="Y34" s="64" t="s">
        <v>991</v>
      </c>
      <c r="Z34" s="64"/>
      <c r="AA34" s="64"/>
      <c r="AB34" s="64"/>
    </row>
    <row r="35" spans="1:260" x14ac:dyDescent="0.2">
      <c r="B35" s="59">
        <f t="shared" si="1"/>
        <v>26</v>
      </c>
      <c r="C35" s="73"/>
      <c r="D35" s="60">
        <v>0</v>
      </c>
      <c r="E35" s="56"/>
      <c r="F35" s="61" t="s">
        <v>53</v>
      </c>
      <c r="G35" s="61" t="s">
        <v>73</v>
      </c>
      <c r="H35" s="61" t="s">
        <v>250</v>
      </c>
      <c r="I35" s="61" t="s">
        <v>72</v>
      </c>
      <c r="J35" s="62" t="s">
        <v>231</v>
      </c>
      <c r="K35" s="58"/>
      <c r="L35" s="61" t="s">
        <v>121</v>
      </c>
      <c r="M35" s="61" t="s">
        <v>154</v>
      </c>
      <c r="N35" s="62" t="s">
        <v>769</v>
      </c>
      <c r="O35" s="63" t="s">
        <v>730</v>
      </c>
      <c r="P35" s="64" t="s">
        <v>768</v>
      </c>
      <c r="Q35" s="64" t="s">
        <v>155</v>
      </c>
      <c r="R35" s="56"/>
      <c r="S35" s="64" t="s">
        <v>20</v>
      </c>
      <c r="T35" s="66">
        <v>46211</v>
      </c>
      <c r="U35" s="64" t="s">
        <v>717</v>
      </c>
      <c r="V35" s="56"/>
      <c r="W35" s="64" t="s">
        <v>192</v>
      </c>
      <c r="X35" s="56"/>
      <c r="Y35" s="64" t="s">
        <v>991</v>
      </c>
      <c r="Z35" s="64"/>
      <c r="AA35" s="64"/>
      <c r="AB35" s="64"/>
    </row>
    <row r="36" spans="1:260" ht="12.6" customHeight="1" x14ac:dyDescent="0.2">
      <c r="B36" s="59">
        <f t="shared" si="1"/>
        <v>27</v>
      </c>
      <c r="C36" s="73"/>
      <c r="D36" s="60">
        <v>0</v>
      </c>
      <c r="E36" s="56"/>
      <c r="F36" s="61" t="s">
        <v>54</v>
      </c>
      <c r="G36" s="61" t="s">
        <v>73</v>
      </c>
      <c r="H36" s="61" t="s">
        <v>101</v>
      </c>
      <c r="I36" s="61" t="s">
        <v>77</v>
      </c>
      <c r="J36" s="62" t="s">
        <v>232</v>
      </c>
      <c r="K36" s="58"/>
      <c r="L36" s="61" t="s">
        <v>985</v>
      </c>
      <c r="M36" s="61" t="s">
        <v>986</v>
      </c>
      <c r="N36" s="62" t="s">
        <v>987</v>
      </c>
      <c r="O36" s="63" t="s">
        <v>731</v>
      </c>
      <c r="P36" s="64" t="s">
        <v>770</v>
      </c>
      <c r="Q36" s="65" t="s">
        <v>771</v>
      </c>
      <c r="R36" s="56"/>
      <c r="S36" s="64" t="s">
        <v>20</v>
      </c>
      <c r="T36" s="66">
        <v>46211</v>
      </c>
      <c r="U36" s="64" t="s">
        <v>717</v>
      </c>
      <c r="V36" s="56"/>
      <c r="W36" s="64" t="s">
        <v>193</v>
      </c>
      <c r="X36" s="56"/>
      <c r="Y36" s="64" t="s">
        <v>988</v>
      </c>
      <c r="Z36" s="64"/>
      <c r="AA36" s="64"/>
      <c r="AB36" s="64"/>
    </row>
    <row r="37" spans="1:260" x14ac:dyDescent="0.2">
      <c r="B37" s="59">
        <f t="shared" si="1"/>
        <v>28</v>
      </c>
      <c r="C37" s="73" t="s">
        <v>1025</v>
      </c>
      <c r="D37" s="60">
        <v>0</v>
      </c>
      <c r="E37" s="56"/>
      <c r="F37" s="61" t="s">
        <v>55</v>
      </c>
      <c r="G37" s="61" t="s">
        <v>73</v>
      </c>
      <c r="H37" s="61" t="s">
        <v>102</v>
      </c>
      <c r="I37" s="61" t="s">
        <v>75</v>
      </c>
      <c r="J37" s="62" t="s">
        <v>233</v>
      </c>
      <c r="K37" s="58"/>
      <c r="L37" s="61" t="s">
        <v>122</v>
      </c>
      <c r="M37" s="61" t="s">
        <v>154</v>
      </c>
      <c r="N37" s="61"/>
      <c r="O37" s="63" t="s">
        <v>981</v>
      </c>
      <c r="P37" s="64" t="s">
        <v>772</v>
      </c>
      <c r="Q37" s="64" t="s">
        <v>157</v>
      </c>
      <c r="R37" s="56"/>
      <c r="S37" s="64" t="s">
        <v>1094</v>
      </c>
      <c r="T37" s="66"/>
      <c r="U37" s="64"/>
      <c r="V37" s="56"/>
      <c r="W37" s="64" t="s">
        <v>194</v>
      </c>
      <c r="X37" s="56"/>
      <c r="Y37" s="64" t="s">
        <v>989</v>
      </c>
      <c r="Z37" s="64"/>
      <c r="AA37" s="64"/>
      <c r="AB37" s="64"/>
    </row>
    <row r="38" spans="1:260" x14ac:dyDescent="0.2">
      <c r="B38" s="59">
        <f t="shared" si="1"/>
        <v>29</v>
      </c>
      <c r="C38" s="73"/>
      <c r="D38" s="60">
        <v>0</v>
      </c>
      <c r="E38" s="56"/>
      <c r="F38" s="61" t="s">
        <v>56</v>
      </c>
      <c r="G38" s="61" t="s">
        <v>73</v>
      </c>
      <c r="H38" s="61" t="s">
        <v>93</v>
      </c>
      <c r="I38" s="61" t="s">
        <v>75</v>
      </c>
      <c r="J38" s="62" t="s">
        <v>234</v>
      </c>
      <c r="K38" s="58"/>
      <c r="L38" s="61" t="s">
        <v>123</v>
      </c>
      <c r="M38" s="61" t="s">
        <v>139</v>
      </c>
      <c r="N38" s="62" t="s">
        <v>990</v>
      </c>
      <c r="O38" s="68" t="s">
        <v>955</v>
      </c>
      <c r="P38" s="64" t="s">
        <v>773</v>
      </c>
      <c r="Q38" s="65" t="s">
        <v>774</v>
      </c>
      <c r="R38" s="56"/>
      <c r="S38" s="64" t="s">
        <v>20</v>
      </c>
      <c r="T38" s="66">
        <v>46211</v>
      </c>
      <c r="U38" s="64" t="s">
        <v>717</v>
      </c>
      <c r="V38" s="56"/>
      <c r="W38" s="64" t="s">
        <v>195</v>
      </c>
      <c r="X38" s="56"/>
      <c r="Y38" s="64" t="s">
        <v>991</v>
      </c>
      <c r="Z38" s="64"/>
      <c r="AA38" s="64"/>
      <c r="AB38" s="64"/>
    </row>
    <row r="39" spans="1:260" x14ac:dyDescent="0.2">
      <c r="B39" s="59">
        <f t="shared" si="1"/>
        <v>30</v>
      </c>
      <c r="C39" s="73" t="s">
        <v>1025</v>
      </c>
      <c r="D39" s="60"/>
      <c r="E39" s="56"/>
      <c r="F39" s="61" t="s">
        <v>261</v>
      </c>
      <c r="G39" s="61" t="s">
        <v>70</v>
      </c>
      <c r="H39" s="61" t="s">
        <v>275</v>
      </c>
      <c r="I39" s="61" t="s">
        <v>72</v>
      </c>
      <c r="J39" s="62" t="s">
        <v>289</v>
      </c>
      <c r="K39" s="58"/>
      <c r="L39" s="61" t="s">
        <v>1045</v>
      </c>
      <c r="M39" s="61"/>
      <c r="N39" s="62" t="s">
        <v>1046</v>
      </c>
      <c r="O39" s="63" t="s">
        <v>801</v>
      </c>
      <c r="P39" s="64" t="s">
        <v>310</v>
      </c>
      <c r="Q39" s="64"/>
      <c r="R39" s="56"/>
      <c r="S39" s="64" t="s">
        <v>20</v>
      </c>
      <c r="T39" s="66">
        <v>46219</v>
      </c>
      <c r="U39" s="64"/>
      <c r="V39" s="56"/>
      <c r="W39" s="64" t="s">
        <v>324</v>
      </c>
      <c r="X39" s="56"/>
      <c r="Y39" s="64" t="s">
        <v>991</v>
      </c>
      <c r="Z39" s="64"/>
      <c r="AA39" s="64"/>
      <c r="AB39" s="64"/>
    </row>
    <row r="40" spans="1:260" s="92" customFormat="1" x14ac:dyDescent="0.2">
      <c r="A40" s="51"/>
      <c r="B40" s="59">
        <f t="shared" si="1"/>
        <v>31</v>
      </c>
      <c r="C40" s="73" t="s">
        <v>1025</v>
      </c>
      <c r="D40" s="60">
        <v>0</v>
      </c>
      <c r="E40" s="96"/>
      <c r="F40" s="61" t="s">
        <v>58</v>
      </c>
      <c r="G40" s="61" t="s">
        <v>73</v>
      </c>
      <c r="H40" s="61" t="s">
        <v>102</v>
      </c>
      <c r="I40" s="61" t="s">
        <v>75</v>
      </c>
      <c r="J40" s="62" t="s">
        <v>236</v>
      </c>
      <c r="K40" s="97"/>
      <c r="L40" s="61" t="s">
        <v>124</v>
      </c>
      <c r="M40" s="61"/>
      <c r="N40" s="61"/>
      <c r="O40" s="63" t="s">
        <v>956</v>
      </c>
      <c r="P40" s="64" t="s">
        <v>776</v>
      </c>
      <c r="Q40" s="65" t="s">
        <v>777</v>
      </c>
      <c r="R40" s="96"/>
      <c r="S40" s="64" t="s">
        <v>1094</v>
      </c>
      <c r="T40" s="66"/>
      <c r="U40" s="64"/>
      <c r="V40" s="96"/>
      <c r="W40" s="64" t="s">
        <v>197</v>
      </c>
      <c r="X40" s="96"/>
      <c r="Y40" s="64" t="s">
        <v>983</v>
      </c>
      <c r="Z40" s="64"/>
      <c r="AA40" s="64"/>
      <c r="AB40" s="64"/>
      <c r="BI40" s="52"/>
      <c r="BJ40" s="52"/>
      <c r="BK40" s="52"/>
      <c r="BL40" s="52"/>
      <c r="BM40" s="52"/>
      <c r="BN40" s="52"/>
      <c r="BO40" s="52"/>
      <c r="BP40" s="52"/>
      <c r="BQ40" s="52"/>
      <c r="BR40" s="52"/>
      <c r="BS40" s="52"/>
      <c r="BT40" s="52"/>
      <c r="BU40" s="52"/>
      <c r="BV40" s="52"/>
      <c r="BW40" s="52"/>
      <c r="BX40" s="52"/>
      <c r="BY40" s="52"/>
      <c r="BZ40" s="52"/>
      <c r="CA40" s="52"/>
      <c r="CB40" s="52"/>
      <c r="CC40" s="52"/>
      <c r="CD40" s="52"/>
      <c r="CE40" s="52"/>
      <c r="CF40" s="52"/>
      <c r="CG40" s="52"/>
      <c r="CH40" s="52"/>
      <c r="CI40" s="52"/>
      <c r="CJ40" s="52"/>
      <c r="CK40" s="52"/>
      <c r="CL40" s="52"/>
      <c r="CM40" s="52"/>
      <c r="CN40" s="52"/>
      <c r="CO40" s="52"/>
      <c r="CP40" s="52"/>
      <c r="CQ40" s="52"/>
      <c r="CR40" s="52"/>
      <c r="CS40" s="52"/>
      <c r="CT40" s="52"/>
      <c r="CU40" s="52"/>
      <c r="CV40" s="52"/>
      <c r="CW40" s="52"/>
      <c r="CX40" s="52"/>
      <c r="CY40" s="52"/>
      <c r="CZ40" s="52"/>
      <c r="DA40" s="52"/>
      <c r="DB40" s="52"/>
      <c r="DC40" s="52"/>
      <c r="DD40" s="52"/>
      <c r="DE40" s="52"/>
      <c r="DF40" s="52"/>
      <c r="DG40" s="52"/>
      <c r="DH40" s="52"/>
      <c r="DI40" s="52"/>
      <c r="DJ40" s="52"/>
      <c r="DK40" s="52"/>
      <c r="DL40" s="52"/>
      <c r="DM40" s="52"/>
      <c r="DN40" s="52"/>
      <c r="DO40" s="52"/>
      <c r="DP40" s="52"/>
      <c r="DQ40" s="52"/>
      <c r="DR40" s="52"/>
      <c r="DS40" s="52"/>
      <c r="DT40" s="52"/>
      <c r="DU40" s="52"/>
      <c r="DV40" s="52"/>
      <c r="DW40" s="52"/>
      <c r="DX40" s="52"/>
      <c r="DY40" s="52"/>
      <c r="DZ40" s="52"/>
      <c r="EA40" s="52"/>
      <c r="EB40" s="52"/>
      <c r="EC40" s="52"/>
      <c r="ED40" s="52"/>
      <c r="EE40" s="52"/>
      <c r="EF40" s="52"/>
      <c r="EG40" s="52"/>
      <c r="EH40" s="52"/>
      <c r="EI40" s="52"/>
      <c r="EJ40" s="52"/>
      <c r="EK40" s="52"/>
      <c r="EL40" s="52"/>
      <c r="EM40" s="52"/>
      <c r="EN40" s="52"/>
      <c r="EO40" s="52"/>
      <c r="EP40" s="52"/>
      <c r="EQ40" s="52"/>
      <c r="ER40" s="52"/>
      <c r="ES40" s="52"/>
      <c r="ET40" s="52"/>
      <c r="EU40" s="52"/>
      <c r="EV40" s="52"/>
      <c r="EW40" s="52"/>
      <c r="EX40" s="52"/>
      <c r="EY40" s="52"/>
      <c r="EZ40" s="52"/>
      <c r="FA40" s="52"/>
      <c r="FB40" s="52"/>
      <c r="FC40" s="52"/>
      <c r="FD40" s="52"/>
      <c r="FE40" s="52"/>
      <c r="FF40" s="52"/>
      <c r="FG40" s="52"/>
      <c r="FH40" s="52"/>
      <c r="FI40" s="52"/>
      <c r="FJ40" s="52"/>
      <c r="FK40" s="52"/>
      <c r="FL40" s="52"/>
      <c r="FM40" s="52"/>
      <c r="FN40" s="52"/>
      <c r="FO40" s="52"/>
      <c r="FP40" s="52"/>
      <c r="FQ40" s="52"/>
      <c r="FR40" s="52"/>
      <c r="FS40" s="52"/>
      <c r="FT40" s="52"/>
      <c r="FU40" s="52"/>
      <c r="FV40" s="52"/>
      <c r="FW40" s="52"/>
      <c r="FX40" s="52"/>
      <c r="FY40" s="52"/>
      <c r="FZ40" s="52"/>
      <c r="GA40" s="52"/>
      <c r="GB40" s="52"/>
      <c r="GC40" s="52"/>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2"/>
      <c r="HP40" s="52"/>
      <c r="HQ40" s="52"/>
      <c r="HR40" s="52"/>
      <c r="HS40" s="52"/>
      <c r="HT40" s="52"/>
      <c r="HU40" s="52"/>
      <c r="HV40" s="52"/>
      <c r="HW40" s="52"/>
      <c r="HX40" s="52"/>
      <c r="HY40" s="52"/>
      <c r="HZ40" s="52"/>
      <c r="IA40" s="52"/>
      <c r="IB40" s="52"/>
      <c r="IC40" s="52"/>
      <c r="ID40" s="52"/>
      <c r="IE40" s="52"/>
      <c r="IF40" s="52"/>
      <c r="IG40" s="52"/>
      <c r="IH40" s="52"/>
      <c r="II40" s="52"/>
      <c r="IJ40" s="52"/>
      <c r="IK40" s="52"/>
      <c r="IL40" s="52"/>
      <c r="IM40" s="52"/>
      <c r="IN40" s="52"/>
      <c r="IO40" s="52"/>
      <c r="IP40" s="52"/>
      <c r="IQ40" s="52"/>
      <c r="IR40" s="52"/>
      <c r="IS40" s="52"/>
      <c r="IT40" s="52"/>
      <c r="IU40" s="52"/>
      <c r="IV40" s="52"/>
      <c r="IW40" s="52"/>
      <c r="IX40" s="52"/>
      <c r="IY40" s="52"/>
      <c r="IZ40" s="52"/>
    </row>
    <row r="41" spans="1:260" x14ac:dyDescent="0.2">
      <c r="B41" s="59">
        <f t="shared" si="1"/>
        <v>32</v>
      </c>
      <c r="C41" s="73"/>
      <c r="D41" s="60">
        <v>0</v>
      </c>
      <c r="E41" s="56"/>
      <c r="F41" s="61" t="s">
        <v>59</v>
      </c>
      <c r="G41" s="61" t="s">
        <v>73</v>
      </c>
      <c r="H41" s="61" t="s">
        <v>102</v>
      </c>
      <c r="I41" s="61" t="s">
        <v>72</v>
      </c>
      <c r="J41" s="62" t="s">
        <v>237</v>
      </c>
      <c r="K41" s="58"/>
      <c r="L41" s="61" t="s">
        <v>996</v>
      </c>
      <c r="M41" s="61"/>
      <c r="N41" s="62" t="s">
        <v>994</v>
      </c>
      <c r="O41" s="63" t="s">
        <v>732</v>
      </c>
      <c r="P41" s="64" t="s">
        <v>778</v>
      </c>
      <c r="Q41" s="64" t="s">
        <v>295</v>
      </c>
      <c r="R41" s="56"/>
      <c r="S41" s="64" t="s">
        <v>20</v>
      </c>
      <c r="T41" s="66">
        <v>46211</v>
      </c>
      <c r="U41" s="64" t="s">
        <v>717</v>
      </c>
      <c r="V41" s="56"/>
      <c r="W41" s="64" t="s">
        <v>198</v>
      </c>
      <c r="X41" s="56"/>
      <c r="Y41" s="64" t="s">
        <v>991</v>
      </c>
      <c r="Z41" s="64"/>
      <c r="AA41" s="64"/>
      <c r="AB41" s="64"/>
    </row>
    <row r="42" spans="1:260" x14ac:dyDescent="0.2">
      <c r="B42" s="59">
        <f t="shared" si="1"/>
        <v>33</v>
      </c>
      <c r="C42" s="73"/>
      <c r="D42" s="60">
        <v>0</v>
      </c>
      <c r="E42" s="56"/>
      <c r="F42" s="61" t="s">
        <v>60</v>
      </c>
      <c r="G42" s="61" t="s">
        <v>73</v>
      </c>
      <c r="H42" s="61" t="s">
        <v>99</v>
      </c>
      <c r="I42" s="61" t="s">
        <v>75</v>
      </c>
      <c r="J42" s="62" t="s">
        <v>238</v>
      </c>
      <c r="K42" s="58"/>
      <c r="L42" s="61" t="s">
        <v>125</v>
      </c>
      <c r="M42" s="61" t="s">
        <v>139</v>
      </c>
      <c r="N42" s="62" t="s">
        <v>158</v>
      </c>
      <c r="O42" s="68" t="s">
        <v>958</v>
      </c>
      <c r="P42" s="64" t="s">
        <v>780</v>
      </c>
      <c r="Q42" s="65" t="s">
        <v>779</v>
      </c>
      <c r="R42" s="56"/>
      <c r="S42" s="64" t="s">
        <v>20</v>
      </c>
      <c r="T42" s="66">
        <v>46210</v>
      </c>
      <c r="U42" s="64" t="s">
        <v>716</v>
      </c>
      <c r="V42" s="56"/>
      <c r="W42" s="64" t="s">
        <v>190</v>
      </c>
      <c r="X42" s="56"/>
      <c r="Y42" s="64" t="s">
        <v>991</v>
      </c>
      <c r="Z42" s="64" t="s">
        <v>1117</v>
      </c>
      <c r="AA42" s="64" t="s">
        <v>1111</v>
      </c>
      <c r="AB42" s="64" t="s">
        <v>1118</v>
      </c>
    </row>
    <row r="43" spans="1:260" x14ac:dyDescent="0.2">
      <c r="B43" s="59">
        <f t="shared" si="1"/>
        <v>34</v>
      </c>
      <c r="C43" s="73"/>
      <c r="D43" s="60">
        <v>0</v>
      </c>
      <c r="E43" s="56"/>
      <c r="F43" s="61" t="s">
        <v>61</v>
      </c>
      <c r="G43" s="61" t="s">
        <v>73</v>
      </c>
      <c r="H43" s="61" t="s">
        <v>99</v>
      </c>
      <c r="I43" s="61" t="s">
        <v>75</v>
      </c>
      <c r="J43" s="62" t="s">
        <v>239</v>
      </c>
      <c r="K43" s="58"/>
      <c r="L43" s="61" t="s">
        <v>996</v>
      </c>
      <c r="M43" s="61"/>
      <c r="N43" s="62" t="s">
        <v>995</v>
      </c>
      <c r="O43" s="63" t="s">
        <v>959</v>
      </c>
      <c r="P43" s="64" t="s">
        <v>781</v>
      </c>
      <c r="Q43" s="61" t="s">
        <v>295</v>
      </c>
      <c r="R43" s="71"/>
      <c r="S43" s="64" t="s">
        <v>20</v>
      </c>
      <c r="T43" s="66">
        <v>46211</v>
      </c>
      <c r="U43" s="64" t="s">
        <v>717</v>
      </c>
      <c r="V43" s="56"/>
      <c r="W43" s="64" t="s">
        <v>199</v>
      </c>
      <c r="X43" s="56"/>
      <c r="Y43" s="64" t="s">
        <v>991</v>
      </c>
      <c r="Z43" s="64"/>
      <c r="AA43" s="64"/>
      <c r="AB43" s="64"/>
    </row>
    <row r="44" spans="1:260" x14ac:dyDescent="0.2">
      <c r="B44" s="59">
        <f t="shared" si="1"/>
        <v>35</v>
      </c>
      <c r="C44" s="73"/>
      <c r="D44" s="60">
        <v>0</v>
      </c>
      <c r="E44" s="56"/>
      <c r="F44" s="61" t="s">
        <v>62</v>
      </c>
      <c r="G44" s="61" t="s">
        <v>73</v>
      </c>
      <c r="H44" s="61" t="s">
        <v>103</v>
      </c>
      <c r="I44" s="61" t="s">
        <v>77</v>
      </c>
      <c r="J44" s="62" t="s">
        <v>240</v>
      </c>
      <c r="K44" s="58"/>
      <c r="L44" s="61" t="s">
        <v>126</v>
      </c>
      <c r="M44" s="61" t="s">
        <v>156</v>
      </c>
      <c r="N44" s="61" t="s">
        <v>159</v>
      </c>
      <c r="O44" s="63" t="s">
        <v>960</v>
      </c>
      <c r="P44" s="64" t="s">
        <v>782</v>
      </c>
      <c r="Q44" s="65" t="s">
        <v>783</v>
      </c>
      <c r="R44" s="56"/>
      <c r="S44" s="64" t="s">
        <v>20</v>
      </c>
      <c r="T44" s="66">
        <v>46210</v>
      </c>
      <c r="U44" s="64" t="s">
        <v>717</v>
      </c>
      <c r="V44" s="56"/>
      <c r="W44" s="64" t="s">
        <v>200</v>
      </c>
      <c r="X44" s="56"/>
      <c r="Y44" s="64" t="s">
        <v>991</v>
      </c>
      <c r="Z44" s="64"/>
      <c r="AA44" s="64"/>
      <c r="AB44" s="64"/>
    </row>
    <row r="45" spans="1:260" s="92" customFormat="1" x14ac:dyDescent="0.2">
      <c r="A45" s="51"/>
      <c r="B45" s="59">
        <f t="shared" si="1"/>
        <v>36</v>
      </c>
      <c r="C45" s="73" t="s">
        <v>1039</v>
      </c>
      <c r="D45" s="60"/>
      <c r="E45" s="56"/>
      <c r="F45" s="61" t="s">
        <v>353</v>
      </c>
      <c r="G45" s="61" t="s">
        <v>73</v>
      </c>
      <c r="H45" s="61" t="s">
        <v>386</v>
      </c>
      <c r="I45" s="61" t="s">
        <v>72</v>
      </c>
      <c r="J45" s="62" t="s">
        <v>487</v>
      </c>
      <c r="K45" s="58"/>
      <c r="L45" s="61" t="s">
        <v>996</v>
      </c>
      <c r="M45" s="61" t="s">
        <v>1050</v>
      </c>
      <c r="N45" s="62" t="s">
        <v>1051</v>
      </c>
      <c r="O45" s="63" t="s">
        <v>908</v>
      </c>
      <c r="P45" s="64"/>
      <c r="Q45" s="64"/>
      <c r="R45" s="56"/>
      <c r="S45" s="64" t="s">
        <v>20</v>
      </c>
      <c r="T45" s="66">
        <v>46219</v>
      </c>
      <c r="U45" s="64"/>
      <c r="V45" s="56"/>
      <c r="W45" s="64" t="s">
        <v>420</v>
      </c>
      <c r="X45" s="56"/>
      <c r="Y45" s="64" t="s">
        <v>991</v>
      </c>
      <c r="Z45" s="64"/>
      <c r="AA45" s="64"/>
      <c r="AB45" s="64"/>
      <c r="BI45" s="52"/>
      <c r="BJ45" s="52"/>
      <c r="BK45" s="52"/>
      <c r="BL45" s="52"/>
      <c r="BM45" s="52"/>
      <c r="BN45" s="52"/>
      <c r="BO45" s="52"/>
      <c r="BP45" s="52"/>
      <c r="BQ45" s="52"/>
      <c r="BR45" s="52"/>
      <c r="BS45" s="52"/>
      <c r="BT45" s="52"/>
      <c r="BU45" s="52"/>
      <c r="BV45" s="52"/>
      <c r="BW45" s="52"/>
      <c r="BX45" s="52"/>
      <c r="BY45" s="52"/>
      <c r="BZ45" s="52"/>
      <c r="CA45" s="52"/>
      <c r="CB45" s="52"/>
      <c r="CC45" s="52"/>
      <c r="CD45" s="52"/>
      <c r="CE45" s="52"/>
      <c r="CF45" s="52"/>
      <c r="CG45" s="52"/>
      <c r="CH45" s="52"/>
      <c r="CI45" s="52"/>
      <c r="CJ45" s="52"/>
      <c r="CK45" s="52"/>
      <c r="CL45" s="52"/>
      <c r="CM45" s="52"/>
      <c r="CN45" s="52"/>
      <c r="CO45" s="52"/>
      <c r="CP45" s="52"/>
      <c r="CQ45" s="52"/>
      <c r="CR45" s="52"/>
      <c r="CS45" s="52"/>
      <c r="CT45" s="52"/>
      <c r="CU45" s="52"/>
      <c r="CV45" s="52"/>
      <c r="CW45" s="52"/>
      <c r="CX45" s="52"/>
      <c r="CY45" s="52"/>
      <c r="CZ45" s="52"/>
      <c r="DA45" s="52"/>
      <c r="DB45" s="52"/>
      <c r="DC45" s="52"/>
      <c r="DD45" s="52"/>
      <c r="DE45" s="52"/>
      <c r="DF45" s="52"/>
      <c r="DG45" s="52"/>
      <c r="DH45" s="52"/>
      <c r="DI45" s="52"/>
      <c r="DJ45" s="52"/>
      <c r="DK45" s="52"/>
      <c r="DL45" s="52"/>
      <c r="DM45" s="52"/>
      <c r="DN45" s="52"/>
      <c r="DO45" s="52"/>
      <c r="DP45" s="52"/>
      <c r="DQ45" s="52"/>
      <c r="DR45" s="52"/>
      <c r="DS45" s="52"/>
      <c r="DT45" s="52"/>
      <c r="DU45" s="52"/>
      <c r="DV45" s="52"/>
      <c r="DW45" s="52"/>
      <c r="DX45" s="52"/>
      <c r="DY45" s="52"/>
      <c r="DZ45" s="52"/>
      <c r="EA45" s="52"/>
      <c r="EB45" s="52"/>
      <c r="EC45" s="52"/>
      <c r="ED45" s="52"/>
      <c r="EE45" s="52"/>
      <c r="EF45" s="52"/>
      <c r="EG45" s="52"/>
      <c r="EH45" s="52"/>
      <c r="EI45" s="52"/>
      <c r="EJ45" s="52"/>
      <c r="EK45" s="52"/>
      <c r="EL45" s="52"/>
      <c r="EM45" s="52"/>
      <c r="EN45" s="52"/>
      <c r="EO45" s="52"/>
      <c r="EP45" s="52"/>
      <c r="EQ45" s="52"/>
      <c r="ER45" s="52"/>
      <c r="ES45" s="52"/>
      <c r="ET45" s="52"/>
      <c r="EU45" s="52"/>
      <c r="EV45" s="52"/>
      <c r="EW45" s="52"/>
      <c r="EX45" s="52"/>
      <c r="EY45" s="52"/>
      <c r="EZ45" s="52"/>
      <c r="FA45" s="52"/>
      <c r="FB45" s="52"/>
      <c r="FC45" s="52"/>
      <c r="FD45" s="52"/>
      <c r="FE45" s="52"/>
      <c r="FF45" s="52"/>
      <c r="FG45" s="52"/>
      <c r="FH45" s="52"/>
      <c r="FI45" s="52"/>
      <c r="FJ45" s="52"/>
      <c r="FK45" s="52"/>
      <c r="FL45" s="52"/>
      <c r="FM45" s="52"/>
      <c r="FN45" s="52"/>
      <c r="FO45" s="52"/>
      <c r="FP45" s="52"/>
      <c r="FQ45" s="52"/>
      <c r="FR45" s="52"/>
      <c r="FS45" s="52"/>
      <c r="FT45" s="52"/>
      <c r="FU45" s="52"/>
      <c r="FV45" s="52"/>
      <c r="FW45" s="52"/>
      <c r="FX45" s="52"/>
      <c r="FY45" s="52"/>
      <c r="FZ45" s="52"/>
      <c r="GA45" s="52"/>
      <c r="GB45" s="52"/>
      <c r="GC45" s="52"/>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2"/>
      <c r="HP45" s="52"/>
      <c r="HQ45" s="52"/>
      <c r="HR45" s="52"/>
      <c r="HS45" s="52"/>
      <c r="HT45" s="52"/>
      <c r="HU45" s="52"/>
      <c r="HV45" s="52"/>
      <c r="HW45" s="52"/>
      <c r="HX45" s="52"/>
      <c r="HY45" s="52"/>
      <c r="HZ45" s="52"/>
      <c r="IA45" s="52"/>
      <c r="IB45" s="52"/>
      <c r="IC45" s="52"/>
      <c r="ID45" s="52"/>
      <c r="IE45" s="52"/>
      <c r="IF45" s="52"/>
      <c r="IG45" s="52"/>
      <c r="IH45" s="52"/>
      <c r="II45" s="52"/>
      <c r="IJ45" s="52"/>
      <c r="IK45" s="52"/>
      <c r="IL45" s="52"/>
      <c r="IM45" s="52"/>
      <c r="IN45" s="52"/>
      <c r="IO45" s="52"/>
      <c r="IP45" s="52"/>
      <c r="IQ45" s="52"/>
      <c r="IR45" s="52"/>
      <c r="IS45" s="52"/>
      <c r="IT45" s="52"/>
      <c r="IU45" s="52"/>
      <c r="IV45" s="52"/>
      <c r="IW45" s="52"/>
      <c r="IX45" s="52"/>
      <c r="IY45" s="52"/>
      <c r="IZ45" s="52"/>
    </row>
    <row r="46" spans="1:260" x14ac:dyDescent="0.2">
      <c r="B46" s="59">
        <f t="shared" ref="B46:B77" si="2">+B45+1</f>
        <v>37</v>
      </c>
      <c r="C46" s="73" t="s">
        <v>1039</v>
      </c>
      <c r="D46" s="60"/>
      <c r="E46" s="56"/>
      <c r="F46" s="61" t="s">
        <v>345</v>
      </c>
      <c r="G46" s="61" t="s">
        <v>73</v>
      </c>
      <c r="H46" s="61" t="s">
        <v>79</v>
      </c>
      <c r="I46" s="61" t="s">
        <v>72</v>
      </c>
      <c r="J46" s="62" t="s">
        <v>479</v>
      </c>
      <c r="K46" s="58"/>
      <c r="L46" s="61" t="s">
        <v>1040</v>
      </c>
      <c r="M46" s="61" t="s">
        <v>295</v>
      </c>
      <c r="N46" s="62" t="s">
        <v>1041</v>
      </c>
      <c r="O46" s="63" t="s">
        <v>895</v>
      </c>
      <c r="P46" s="64" t="s">
        <v>460</v>
      </c>
      <c r="Q46" s="64"/>
      <c r="R46" s="56"/>
      <c r="S46" s="64" t="s">
        <v>20</v>
      </c>
      <c r="T46" s="66">
        <v>46219</v>
      </c>
      <c r="U46" s="64"/>
      <c r="V46" s="56"/>
      <c r="W46" s="64" t="s">
        <v>411</v>
      </c>
      <c r="X46" s="56"/>
      <c r="Y46" s="64" t="s">
        <v>991</v>
      </c>
      <c r="Z46" s="64"/>
      <c r="AA46" s="64"/>
      <c r="AB46" s="64"/>
    </row>
    <row r="47" spans="1:260" x14ac:dyDescent="0.2">
      <c r="B47" s="59">
        <f t="shared" si="2"/>
        <v>38</v>
      </c>
      <c r="C47" s="73" t="s">
        <v>1025</v>
      </c>
      <c r="D47" s="60">
        <v>0</v>
      </c>
      <c r="E47" s="56"/>
      <c r="F47" s="61" t="s">
        <v>65</v>
      </c>
      <c r="G47" s="61" t="s">
        <v>70</v>
      </c>
      <c r="H47" s="61" t="s">
        <v>104</v>
      </c>
      <c r="I47" s="61" t="s">
        <v>72</v>
      </c>
      <c r="J47" s="62" t="s">
        <v>243</v>
      </c>
      <c r="K47" s="58"/>
      <c r="L47" s="61"/>
      <c r="M47" s="61"/>
      <c r="N47" s="61"/>
      <c r="O47" s="68" t="s">
        <v>962</v>
      </c>
      <c r="P47" s="64" t="s">
        <v>786</v>
      </c>
      <c r="Q47" s="61"/>
      <c r="R47" s="56"/>
      <c r="S47" s="64" t="s">
        <v>247</v>
      </c>
      <c r="T47" s="66"/>
      <c r="U47" s="64" t="s">
        <v>972</v>
      </c>
      <c r="V47" s="56"/>
      <c r="W47" s="64" t="s">
        <v>203</v>
      </c>
      <c r="X47" s="56"/>
      <c r="Y47" s="64" t="s">
        <v>1038</v>
      </c>
      <c r="Z47" s="64" t="s">
        <v>1121</v>
      </c>
      <c r="AA47" s="64" t="s">
        <v>295</v>
      </c>
      <c r="AB47" s="64" t="s">
        <v>295</v>
      </c>
    </row>
    <row r="48" spans="1:260" x14ac:dyDescent="0.2">
      <c r="B48" s="59">
        <f t="shared" si="2"/>
        <v>39</v>
      </c>
      <c r="C48" s="73"/>
      <c r="D48" s="60">
        <v>0</v>
      </c>
      <c r="E48" s="56"/>
      <c r="F48" s="61" t="s">
        <v>66</v>
      </c>
      <c r="G48" s="61" t="s">
        <v>73</v>
      </c>
      <c r="H48" s="61" t="s">
        <v>102</v>
      </c>
      <c r="I48" s="61" t="s">
        <v>75</v>
      </c>
      <c r="J48" s="62" t="s">
        <v>244</v>
      </c>
      <c r="K48" s="58"/>
      <c r="L48" s="61" t="s">
        <v>127</v>
      </c>
      <c r="M48" s="61" t="s">
        <v>161</v>
      </c>
      <c r="N48" s="61" t="s">
        <v>162</v>
      </c>
      <c r="O48" s="63"/>
      <c r="P48" s="64" t="s">
        <v>788</v>
      </c>
      <c r="Q48" s="65" t="s">
        <v>787</v>
      </c>
      <c r="R48" s="56"/>
      <c r="S48" s="64" t="s">
        <v>20</v>
      </c>
      <c r="T48" s="66">
        <v>46210</v>
      </c>
      <c r="U48" s="64" t="s">
        <v>717</v>
      </c>
      <c r="V48" s="56"/>
      <c r="W48" s="64" t="s">
        <v>204</v>
      </c>
      <c r="X48" s="56"/>
      <c r="Y48" s="64" t="s">
        <v>991</v>
      </c>
      <c r="Z48" s="64"/>
      <c r="AA48" s="64"/>
      <c r="AB48" s="64"/>
    </row>
    <row r="49" spans="1:260" s="92" customFormat="1" x14ac:dyDescent="0.2">
      <c r="A49" s="51"/>
      <c r="B49" s="59">
        <f t="shared" si="2"/>
        <v>40</v>
      </c>
      <c r="C49" s="73" t="s">
        <v>1025</v>
      </c>
      <c r="D49" s="60">
        <v>0</v>
      </c>
      <c r="E49" s="96"/>
      <c r="F49" s="61" t="s">
        <v>67</v>
      </c>
      <c r="G49" s="61" t="s">
        <v>73</v>
      </c>
      <c r="H49" s="61" t="s">
        <v>102</v>
      </c>
      <c r="I49" s="61" t="s">
        <v>75</v>
      </c>
      <c r="J49" s="62" t="s">
        <v>245</v>
      </c>
      <c r="K49" s="97"/>
      <c r="L49" s="61" t="s">
        <v>128</v>
      </c>
      <c r="M49" s="61" t="s">
        <v>154</v>
      </c>
      <c r="N49" s="61"/>
      <c r="O49" s="68" t="s">
        <v>963</v>
      </c>
      <c r="P49" s="64" t="s">
        <v>789</v>
      </c>
      <c r="Q49" s="64" t="s">
        <v>163</v>
      </c>
      <c r="R49" s="96"/>
      <c r="S49" s="64" t="s">
        <v>1094</v>
      </c>
      <c r="T49" s="66"/>
      <c r="U49" s="64"/>
      <c r="V49" s="96"/>
      <c r="W49" s="64" t="s">
        <v>205</v>
      </c>
      <c r="X49" s="96"/>
      <c r="Y49" s="64" t="s">
        <v>991</v>
      </c>
      <c r="Z49" s="64"/>
      <c r="AA49" s="64"/>
      <c r="AB49" s="64"/>
      <c r="BI49" s="52"/>
      <c r="BJ49" s="52"/>
      <c r="BK49" s="52"/>
      <c r="BL49" s="52"/>
      <c r="BM49" s="52"/>
      <c r="BN49" s="52"/>
      <c r="BO49" s="52"/>
      <c r="BP49" s="52"/>
      <c r="BQ49" s="52"/>
      <c r="BR49" s="52"/>
      <c r="BS49" s="52"/>
      <c r="BT49" s="52"/>
      <c r="BU49" s="52"/>
      <c r="BV49" s="52"/>
      <c r="BW49" s="52"/>
      <c r="BX49" s="52"/>
      <c r="BY49" s="52"/>
      <c r="BZ49" s="52"/>
      <c r="CA49" s="52"/>
      <c r="CB49" s="52"/>
      <c r="CC49" s="52"/>
      <c r="CD49" s="52"/>
      <c r="CE49" s="52"/>
      <c r="CF49" s="52"/>
      <c r="CG49" s="52"/>
      <c r="CH49" s="52"/>
      <c r="CI49" s="52"/>
      <c r="CJ49" s="52"/>
      <c r="CK49" s="52"/>
      <c r="CL49" s="52"/>
      <c r="CM49" s="52"/>
      <c r="CN49" s="52"/>
      <c r="CO49" s="52"/>
      <c r="CP49" s="52"/>
      <c r="CQ49" s="52"/>
      <c r="CR49" s="52"/>
      <c r="CS49" s="52"/>
      <c r="CT49" s="52"/>
      <c r="CU49" s="52"/>
      <c r="CV49" s="52"/>
      <c r="CW49" s="52"/>
      <c r="CX49" s="52"/>
      <c r="CY49" s="52"/>
      <c r="CZ49" s="52"/>
      <c r="DA49" s="52"/>
      <c r="DB49" s="52"/>
      <c r="DC49" s="52"/>
      <c r="DD49" s="52"/>
      <c r="DE49" s="52"/>
      <c r="DF49" s="52"/>
      <c r="DG49" s="52"/>
      <c r="DH49" s="52"/>
      <c r="DI49" s="52"/>
      <c r="DJ49" s="52"/>
      <c r="DK49" s="52"/>
      <c r="DL49" s="52"/>
      <c r="DM49" s="52"/>
      <c r="DN49" s="52"/>
      <c r="DO49" s="52"/>
      <c r="DP49" s="52"/>
      <c r="DQ49" s="52"/>
      <c r="DR49" s="52"/>
      <c r="DS49" s="52"/>
      <c r="DT49" s="52"/>
      <c r="DU49" s="52"/>
      <c r="DV49" s="52"/>
      <c r="DW49" s="52"/>
      <c r="DX49" s="52"/>
      <c r="DY49" s="52"/>
      <c r="DZ49" s="52"/>
      <c r="EA49" s="52"/>
      <c r="EB49" s="52"/>
      <c r="EC49" s="52"/>
      <c r="ED49" s="52"/>
      <c r="EE49" s="52"/>
      <c r="EF49" s="52"/>
      <c r="EG49" s="52"/>
      <c r="EH49" s="52"/>
      <c r="EI49" s="52"/>
      <c r="EJ49" s="52"/>
      <c r="EK49" s="52"/>
      <c r="EL49" s="52"/>
      <c r="EM49" s="52"/>
      <c r="EN49" s="52"/>
      <c r="EO49" s="52"/>
      <c r="EP49" s="52"/>
      <c r="EQ49" s="52"/>
      <c r="ER49" s="52"/>
      <c r="ES49" s="52"/>
      <c r="ET49" s="52"/>
      <c r="EU49" s="52"/>
      <c r="EV49" s="52"/>
      <c r="EW49" s="52"/>
      <c r="EX49" s="52"/>
      <c r="EY49" s="52"/>
      <c r="EZ49" s="52"/>
      <c r="FA49" s="52"/>
      <c r="FB49" s="52"/>
      <c r="FC49" s="52"/>
      <c r="FD49" s="52"/>
      <c r="FE49" s="52"/>
      <c r="FF49" s="52"/>
      <c r="FG49" s="52"/>
      <c r="FH49" s="52"/>
      <c r="FI49" s="52"/>
      <c r="FJ49" s="52"/>
      <c r="FK49" s="52"/>
      <c r="FL49" s="52"/>
      <c r="FM49" s="52"/>
      <c r="FN49" s="52"/>
      <c r="FO49" s="52"/>
      <c r="FP49" s="52"/>
      <c r="FQ49" s="52"/>
      <c r="FR49" s="52"/>
      <c r="FS49" s="52"/>
      <c r="FT49" s="52"/>
      <c r="FU49" s="52"/>
      <c r="FV49" s="52"/>
      <c r="FW49" s="52"/>
      <c r="FX49" s="52"/>
      <c r="FY49" s="52"/>
      <c r="FZ49" s="52"/>
      <c r="GA49" s="52"/>
      <c r="GB49" s="52"/>
      <c r="GC49" s="52"/>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2"/>
      <c r="HP49" s="52"/>
      <c r="HQ49" s="52"/>
      <c r="HR49" s="52"/>
      <c r="HS49" s="52"/>
      <c r="HT49" s="52"/>
      <c r="HU49" s="52"/>
      <c r="HV49" s="52"/>
      <c r="HW49" s="52"/>
      <c r="HX49" s="52"/>
      <c r="HY49" s="52"/>
      <c r="HZ49" s="52"/>
      <c r="IA49" s="52"/>
      <c r="IB49" s="52"/>
      <c r="IC49" s="52"/>
      <c r="ID49" s="52"/>
      <c r="IE49" s="52"/>
      <c r="IF49" s="52"/>
      <c r="IG49" s="52"/>
      <c r="IH49" s="52"/>
      <c r="II49" s="52"/>
      <c r="IJ49" s="52"/>
      <c r="IK49" s="52"/>
      <c r="IL49" s="52"/>
      <c r="IM49" s="52"/>
      <c r="IN49" s="52"/>
      <c r="IO49" s="52"/>
      <c r="IP49" s="52"/>
      <c r="IQ49" s="52"/>
      <c r="IR49" s="52"/>
      <c r="IS49" s="52"/>
      <c r="IT49" s="52"/>
      <c r="IU49" s="52"/>
      <c r="IV49" s="52"/>
      <c r="IW49" s="52"/>
      <c r="IX49" s="52"/>
      <c r="IY49" s="52"/>
      <c r="IZ49" s="52"/>
    </row>
    <row r="50" spans="1:260" x14ac:dyDescent="0.2">
      <c r="B50" s="59">
        <f t="shared" si="2"/>
        <v>41</v>
      </c>
      <c r="C50" s="73" t="s">
        <v>1039</v>
      </c>
      <c r="D50" s="60"/>
      <c r="E50" s="56"/>
      <c r="F50" s="61" t="s">
        <v>363</v>
      </c>
      <c r="G50" s="61" t="s">
        <v>73</v>
      </c>
      <c r="H50" s="61" t="s">
        <v>392</v>
      </c>
      <c r="I50" s="61" t="s">
        <v>72</v>
      </c>
      <c r="J50" s="62" t="s">
        <v>498</v>
      </c>
      <c r="K50" s="58"/>
      <c r="L50" s="61" t="s">
        <v>1062</v>
      </c>
      <c r="M50" s="61" t="s">
        <v>1063</v>
      </c>
      <c r="N50" s="62" t="s">
        <v>1064</v>
      </c>
      <c r="O50" s="63" t="s">
        <v>942</v>
      </c>
      <c r="P50" s="64" t="s">
        <v>941</v>
      </c>
      <c r="Q50" s="61" t="s">
        <v>295</v>
      </c>
      <c r="R50" s="56"/>
      <c r="S50" s="64" t="s">
        <v>20</v>
      </c>
      <c r="T50" s="66">
        <v>46219</v>
      </c>
      <c r="U50" s="64"/>
      <c r="V50" s="56"/>
      <c r="W50" s="64" t="s">
        <v>431</v>
      </c>
      <c r="X50" s="56"/>
      <c r="Y50" s="64" t="s">
        <v>991</v>
      </c>
      <c r="Z50" s="64"/>
      <c r="AA50" s="64"/>
      <c r="AB50" s="64"/>
    </row>
    <row r="51" spans="1:260" x14ac:dyDescent="0.2">
      <c r="B51" s="59">
        <f t="shared" si="2"/>
        <v>42</v>
      </c>
      <c r="C51" s="73" t="s">
        <v>1039</v>
      </c>
      <c r="D51" s="59"/>
      <c r="E51" s="56"/>
      <c r="F51" s="61" t="s">
        <v>509</v>
      </c>
      <c r="G51" s="61" t="s">
        <v>73</v>
      </c>
      <c r="H51" s="61" t="s">
        <v>535</v>
      </c>
      <c r="I51" s="61" t="s">
        <v>75</v>
      </c>
      <c r="J51" s="61" t="s">
        <v>561</v>
      </c>
      <c r="K51" s="58"/>
      <c r="L51" s="61" t="s">
        <v>1072</v>
      </c>
      <c r="M51" s="61" t="s">
        <v>295</v>
      </c>
      <c r="N51" s="62" t="s">
        <v>1070</v>
      </c>
      <c r="O51" s="63" t="s">
        <v>610</v>
      </c>
      <c r="P51" s="64" t="s">
        <v>893</v>
      </c>
      <c r="Q51" s="65" t="s">
        <v>894</v>
      </c>
      <c r="R51" s="56"/>
      <c r="S51" s="64" t="s">
        <v>20</v>
      </c>
      <c r="T51" s="66">
        <v>46219</v>
      </c>
      <c r="U51" s="64"/>
      <c r="V51" s="56"/>
      <c r="W51" s="64" t="s">
        <v>632</v>
      </c>
      <c r="X51" s="56"/>
      <c r="Y51" s="64" t="s">
        <v>1071</v>
      </c>
      <c r="Z51" s="64"/>
      <c r="AA51" s="64"/>
      <c r="AB51" s="64"/>
    </row>
    <row r="52" spans="1:260" x14ac:dyDescent="0.2">
      <c r="B52" s="59">
        <f t="shared" si="2"/>
        <v>43</v>
      </c>
      <c r="C52" s="73" t="s">
        <v>1025</v>
      </c>
      <c r="D52" s="60"/>
      <c r="E52" s="56"/>
      <c r="F52" s="61" t="s">
        <v>253</v>
      </c>
      <c r="G52" s="61" t="s">
        <v>70</v>
      </c>
      <c r="H52" s="61" t="s">
        <v>267</v>
      </c>
      <c r="I52" s="61" t="s">
        <v>75</v>
      </c>
      <c r="J52" s="62" t="s">
        <v>281</v>
      </c>
      <c r="K52" s="58"/>
      <c r="L52" s="61"/>
      <c r="M52" s="61"/>
      <c r="N52" s="61"/>
      <c r="O52" s="68" t="s">
        <v>795</v>
      </c>
      <c r="P52" s="64" t="s">
        <v>303</v>
      </c>
      <c r="Q52" s="64"/>
      <c r="R52" s="56"/>
      <c r="S52" s="64" t="s">
        <v>1094</v>
      </c>
      <c r="T52" s="66"/>
      <c r="U52" s="64"/>
      <c r="V52" s="56"/>
      <c r="W52" s="64" t="s">
        <v>316</v>
      </c>
      <c r="X52" s="56"/>
      <c r="Y52" s="64" t="s">
        <v>1034</v>
      </c>
      <c r="Z52" s="64"/>
      <c r="AA52" s="64"/>
      <c r="AB52" s="64"/>
    </row>
    <row r="53" spans="1:260" s="92" customFormat="1" x14ac:dyDescent="0.2">
      <c r="A53" s="51"/>
      <c r="B53" s="59">
        <f t="shared" si="2"/>
        <v>44</v>
      </c>
      <c r="C53" s="73" t="s">
        <v>1025</v>
      </c>
      <c r="D53" s="60"/>
      <c r="E53" s="96"/>
      <c r="F53" s="61" t="s">
        <v>254</v>
      </c>
      <c r="G53" s="61" t="s">
        <v>70</v>
      </c>
      <c r="H53" s="61" t="s">
        <v>268</v>
      </c>
      <c r="I53" s="61" t="s">
        <v>77</v>
      </c>
      <c r="J53" s="62" t="s">
        <v>282</v>
      </c>
      <c r="K53" s="97"/>
      <c r="L53" s="61" t="s">
        <v>296</v>
      </c>
      <c r="M53" s="61" t="s">
        <v>301</v>
      </c>
      <c r="N53" s="61"/>
      <c r="O53" s="68" t="s">
        <v>794</v>
      </c>
      <c r="P53" s="64" t="s">
        <v>304</v>
      </c>
      <c r="Q53" s="64" t="s">
        <v>806</v>
      </c>
      <c r="R53" s="96"/>
      <c r="S53" s="64" t="s">
        <v>1094</v>
      </c>
      <c r="T53" s="66"/>
      <c r="U53" s="64"/>
      <c r="V53" s="96"/>
      <c r="W53" s="64" t="s">
        <v>317</v>
      </c>
      <c r="X53" s="96"/>
      <c r="Y53" s="64" t="s">
        <v>983</v>
      </c>
      <c r="Z53" s="64"/>
      <c r="AA53" s="64"/>
      <c r="AB53" s="64"/>
      <c r="BI53" s="52"/>
      <c r="BJ53" s="52"/>
      <c r="BK53" s="52"/>
      <c r="BL53" s="52"/>
      <c r="BM53" s="52"/>
      <c r="BN53" s="52"/>
      <c r="BO53" s="52"/>
      <c r="BP53" s="52"/>
      <c r="BQ53" s="52"/>
      <c r="BR53" s="52"/>
      <c r="BS53" s="52"/>
      <c r="BT53" s="52"/>
      <c r="BU53" s="52"/>
      <c r="BV53" s="52"/>
      <c r="BW53" s="52"/>
      <c r="BX53" s="52"/>
      <c r="BY53" s="52"/>
      <c r="BZ53" s="52"/>
      <c r="CA53" s="52"/>
      <c r="CB53" s="52"/>
      <c r="CC53" s="52"/>
      <c r="CD53" s="52"/>
      <c r="CE53" s="52"/>
      <c r="CF53" s="52"/>
      <c r="CG53" s="52"/>
      <c r="CH53" s="52"/>
      <c r="CI53" s="52"/>
      <c r="CJ53" s="52"/>
      <c r="CK53" s="52"/>
      <c r="CL53" s="52"/>
      <c r="CM53" s="52"/>
      <c r="CN53" s="52"/>
      <c r="CO53" s="52"/>
      <c r="CP53" s="52"/>
      <c r="CQ53" s="52"/>
      <c r="CR53" s="52"/>
      <c r="CS53" s="52"/>
      <c r="CT53" s="52"/>
      <c r="CU53" s="52"/>
      <c r="CV53" s="52"/>
      <c r="CW53" s="52"/>
      <c r="CX53" s="52"/>
      <c r="CY53" s="52"/>
      <c r="CZ53" s="52"/>
      <c r="DA53" s="52"/>
      <c r="DB53" s="52"/>
      <c r="DC53" s="52"/>
      <c r="DD53" s="52"/>
      <c r="DE53" s="52"/>
      <c r="DF53" s="52"/>
      <c r="DG53" s="52"/>
      <c r="DH53" s="52"/>
      <c r="DI53" s="52"/>
      <c r="DJ53" s="52"/>
      <c r="DK53" s="52"/>
      <c r="DL53" s="52"/>
      <c r="DM53" s="52"/>
      <c r="DN53" s="52"/>
      <c r="DO53" s="52"/>
      <c r="DP53" s="52"/>
      <c r="DQ53" s="52"/>
      <c r="DR53" s="52"/>
      <c r="DS53" s="52"/>
      <c r="DT53" s="52"/>
      <c r="DU53" s="52"/>
      <c r="DV53" s="52"/>
      <c r="DW53" s="52"/>
      <c r="DX53" s="52"/>
      <c r="DY53" s="52"/>
      <c r="DZ53" s="52"/>
      <c r="EA53" s="52"/>
      <c r="EB53" s="52"/>
      <c r="EC53" s="52"/>
      <c r="ED53" s="52"/>
      <c r="EE53" s="52"/>
      <c r="EF53" s="52"/>
      <c r="EG53" s="52"/>
      <c r="EH53" s="52"/>
      <c r="EI53" s="52"/>
      <c r="EJ53" s="52"/>
      <c r="EK53" s="52"/>
      <c r="EL53" s="52"/>
      <c r="EM53" s="52"/>
      <c r="EN53" s="52"/>
      <c r="EO53" s="52"/>
      <c r="EP53" s="52"/>
      <c r="EQ53" s="52"/>
      <c r="ER53" s="52"/>
      <c r="ES53" s="52"/>
      <c r="ET53" s="52"/>
      <c r="EU53" s="52"/>
      <c r="EV53" s="52"/>
      <c r="EW53" s="52"/>
      <c r="EX53" s="52"/>
      <c r="EY53" s="52"/>
      <c r="EZ53" s="52"/>
      <c r="FA53" s="52"/>
      <c r="FB53" s="52"/>
      <c r="FC53" s="52"/>
      <c r="FD53" s="52"/>
      <c r="FE53" s="52"/>
      <c r="FF53" s="52"/>
      <c r="FG53" s="52"/>
      <c r="FH53" s="52"/>
      <c r="FI53" s="52"/>
      <c r="FJ53" s="52"/>
      <c r="FK53" s="52"/>
      <c r="FL53" s="52"/>
      <c r="FM53" s="52"/>
      <c r="FN53" s="52"/>
      <c r="FO53" s="52"/>
      <c r="FP53" s="52"/>
      <c r="FQ53" s="52"/>
      <c r="FR53" s="52"/>
      <c r="FS53" s="52"/>
      <c r="FT53" s="52"/>
      <c r="FU53" s="52"/>
      <c r="FV53" s="52"/>
      <c r="FW53" s="52"/>
      <c r="FX53" s="52"/>
      <c r="FY53" s="52"/>
      <c r="FZ53" s="52"/>
      <c r="GA53" s="52"/>
      <c r="GB53" s="52"/>
      <c r="GC53" s="52"/>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2"/>
      <c r="HP53" s="52"/>
      <c r="HQ53" s="52"/>
      <c r="HR53" s="52"/>
      <c r="HS53" s="52"/>
      <c r="HT53" s="52"/>
      <c r="HU53" s="52"/>
      <c r="HV53" s="52"/>
      <c r="HW53" s="52"/>
      <c r="HX53" s="52"/>
      <c r="HY53" s="52"/>
      <c r="HZ53" s="52"/>
      <c r="IA53" s="52"/>
      <c r="IB53" s="52"/>
      <c r="IC53" s="52"/>
      <c r="ID53" s="52"/>
      <c r="IE53" s="52"/>
      <c r="IF53" s="52"/>
      <c r="IG53" s="52"/>
      <c r="IH53" s="52"/>
      <c r="II53" s="52"/>
      <c r="IJ53" s="52"/>
      <c r="IK53" s="52"/>
      <c r="IL53" s="52"/>
      <c r="IM53" s="52"/>
      <c r="IN53" s="52"/>
      <c r="IO53" s="52"/>
      <c r="IP53" s="52"/>
      <c r="IQ53" s="52"/>
      <c r="IR53" s="52"/>
      <c r="IS53" s="52"/>
      <c r="IT53" s="52"/>
      <c r="IU53" s="52"/>
      <c r="IV53" s="52"/>
      <c r="IW53" s="52"/>
      <c r="IX53" s="52"/>
      <c r="IY53" s="52"/>
      <c r="IZ53" s="52"/>
    </row>
    <row r="54" spans="1:260" x14ac:dyDescent="0.2">
      <c r="B54" s="59">
        <f t="shared" si="2"/>
        <v>45</v>
      </c>
      <c r="C54" s="73" t="s">
        <v>1025</v>
      </c>
      <c r="D54" s="60"/>
      <c r="E54" s="56"/>
      <c r="F54" s="61" t="s">
        <v>255</v>
      </c>
      <c r="G54" s="61" t="s">
        <v>70</v>
      </c>
      <c r="H54" s="61" t="s">
        <v>269</v>
      </c>
      <c r="I54" s="61" t="s">
        <v>72</v>
      </c>
      <c r="J54" s="62" t="s">
        <v>283</v>
      </c>
      <c r="K54" s="58"/>
      <c r="L54" s="61"/>
      <c r="M54" s="61"/>
      <c r="N54" s="61"/>
      <c r="O54" s="63" t="s">
        <v>796</v>
      </c>
      <c r="P54" s="64" t="s">
        <v>305</v>
      </c>
      <c r="Q54" s="64"/>
      <c r="R54" s="56"/>
      <c r="S54" s="64" t="s">
        <v>247</v>
      </c>
      <c r="T54" s="66"/>
      <c r="U54" s="64" t="s">
        <v>972</v>
      </c>
      <c r="V54" s="56"/>
      <c r="W54" s="64" t="s">
        <v>318</v>
      </c>
      <c r="X54" s="56"/>
      <c r="Y54" s="64" t="s">
        <v>1038</v>
      </c>
      <c r="Z54" s="64" t="s">
        <v>1121</v>
      </c>
      <c r="AA54" s="64" t="s">
        <v>295</v>
      </c>
      <c r="AB54" s="64" t="s">
        <v>295</v>
      </c>
    </row>
    <row r="55" spans="1:260" x14ac:dyDescent="0.2">
      <c r="B55" s="59">
        <f t="shared" si="2"/>
        <v>46</v>
      </c>
      <c r="C55" s="73" t="s">
        <v>1025</v>
      </c>
      <c r="D55" s="60"/>
      <c r="E55" s="56"/>
      <c r="F55" s="61" t="s">
        <v>256</v>
      </c>
      <c r="G55" s="61" t="s">
        <v>73</v>
      </c>
      <c r="H55" s="61" t="s">
        <v>270</v>
      </c>
      <c r="I55" s="61" t="s">
        <v>72</v>
      </c>
      <c r="J55" s="62" t="s">
        <v>284</v>
      </c>
      <c r="K55" s="58"/>
      <c r="L55" s="61"/>
      <c r="M55" s="61"/>
      <c r="N55" s="61"/>
      <c r="O55" s="63" t="s">
        <v>797</v>
      </c>
      <c r="P55" s="64" t="s">
        <v>306</v>
      </c>
      <c r="Q55" s="65" t="s">
        <v>807</v>
      </c>
      <c r="R55" s="56"/>
      <c r="S55" s="64" t="s">
        <v>247</v>
      </c>
      <c r="T55" s="66"/>
      <c r="U55" s="64" t="s">
        <v>972</v>
      </c>
      <c r="V55" s="56"/>
      <c r="W55" s="64" t="s">
        <v>319</v>
      </c>
      <c r="X55" s="56"/>
      <c r="Y55" s="64" t="s">
        <v>1038</v>
      </c>
      <c r="Z55" s="64" t="s">
        <v>1121</v>
      </c>
      <c r="AA55" s="64" t="s">
        <v>295</v>
      </c>
      <c r="AB55" s="64" t="s">
        <v>295</v>
      </c>
    </row>
    <row r="56" spans="1:260" x14ac:dyDescent="0.2">
      <c r="B56" s="59">
        <f t="shared" si="2"/>
        <v>47</v>
      </c>
      <c r="C56" s="73" t="s">
        <v>1025</v>
      </c>
      <c r="D56" s="60">
        <v>0</v>
      </c>
      <c r="E56" s="56"/>
      <c r="F56" s="61" t="s">
        <v>42</v>
      </c>
      <c r="G56" s="61" t="s">
        <v>73</v>
      </c>
      <c r="H56" s="61" t="s">
        <v>89</v>
      </c>
      <c r="I56" s="61" t="s">
        <v>77</v>
      </c>
      <c r="J56" s="62" t="s">
        <v>220</v>
      </c>
      <c r="K56" s="58"/>
      <c r="L56" s="61" t="s">
        <v>1018</v>
      </c>
      <c r="M56" s="61" t="s">
        <v>1019</v>
      </c>
      <c r="N56" s="62" t="s">
        <v>1017</v>
      </c>
      <c r="O56" s="63" t="s">
        <v>949</v>
      </c>
      <c r="P56" s="64" t="s">
        <v>746</v>
      </c>
      <c r="Q56" s="65" t="s">
        <v>745</v>
      </c>
      <c r="R56" s="56"/>
      <c r="S56" s="64" t="s">
        <v>20</v>
      </c>
      <c r="T56" s="66">
        <v>46219</v>
      </c>
      <c r="U56" s="64"/>
      <c r="V56" s="56"/>
      <c r="W56" s="64" t="s">
        <v>180</v>
      </c>
      <c r="X56" s="56"/>
      <c r="Y56" s="64" t="s">
        <v>1020</v>
      </c>
      <c r="Z56" s="64"/>
      <c r="AA56" s="64"/>
      <c r="AB56" s="64"/>
    </row>
    <row r="57" spans="1:260" x14ac:dyDescent="0.2">
      <c r="B57" s="59">
        <f t="shared" si="2"/>
        <v>48</v>
      </c>
      <c r="C57" s="73" t="s">
        <v>1025</v>
      </c>
      <c r="D57" s="60"/>
      <c r="E57" s="56"/>
      <c r="F57" s="61" t="s">
        <v>258</v>
      </c>
      <c r="G57" s="61" t="s">
        <v>87</v>
      </c>
      <c r="H57" s="61" t="s">
        <v>272</v>
      </c>
      <c r="I57" s="61" t="s">
        <v>72</v>
      </c>
      <c r="J57" s="62" t="s">
        <v>286</v>
      </c>
      <c r="K57" s="58"/>
      <c r="L57" s="61"/>
      <c r="M57" s="61"/>
      <c r="N57" s="61"/>
      <c r="O57" s="63" t="s">
        <v>809</v>
      </c>
      <c r="P57" s="64" t="s">
        <v>307</v>
      </c>
      <c r="Q57" s="64"/>
      <c r="R57" s="56"/>
      <c r="S57" s="64" t="s">
        <v>247</v>
      </c>
      <c r="T57" s="66"/>
      <c r="U57" s="64"/>
      <c r="V57" s="56"/>
      <c r="W57" s="64" t="s">
        <v>321</v>
      </c>
      <c r="X57" s="56"/>
      <c r="Y57" s="64" t="s">
        <v>1034</v>
      </c>
      <c r="Z57" s="64"/>
      <c r="AA57" s="64"/>
      <c r="AB57" s="64"/>
    </row>
    <row r="58" spans="1:260" x14ac:dyDescent="0.2">
      <c r="B58" s="59">
        <f t="shared" si="2"/>
        <v>49</v>
      </c>
      <c r="C58" s="73" t="s">
        <v>1025</v>
      </c>
      <c r="D58" s="60"/>
      <c r="E58" s="56"/>
      <c r="F58" s="61" t="s">
        <v>259</v>
      </c>
      <c r="G58" s="61" t="s">
        <v>70</v>
      </c>
      <c r="H58" s="61" t="s">
        <v>273</v>
      </c>
      <c r="I58" s="61" t="s">
        <v>72</v>
      </c>
      <c r="J58" s="62" t="s">
        <v>287</v>
      </c>
      <c r="K58" s="58"/>
      <c r="L58" s="61" t="s">
        <v>811</v>
      </c>
      <c r="M58" s="61" t="s">
        <v>301</v>
      </c>
      <c r="N58" s="61"/>
      <c r="O58" s="63" t="s">
        <v>812</v>
      </c>
      <c r="P58" s="64" t="s">
        <v>308</v>
      </c>
      <c r="Q58" s="64" t="s">
        <v>810</v>
      </c>
      <c r="R58" s="56"/>
      <c r="S58" s="64" t="s">
        <v>1001</v>
      </c>
      <c r="T58" s="66"/>
      <c r="U58" s="64" t="s">
        <v>972</v>
      </c>
      <c r="V58" s="56"/>
      <c r="W58" s="64" t="s">
        <v>322</v>
      </c>
      <c r="X58" s="56"/>
      <c r="Y58" s="64" t="s">
        <v>1038</v>
      </c>
      <c r="Z58" s="64" t="s">
        <v>1121</v>
      </c>
      <c r="AA58" s="64" t="s">
        <v>295</v>
      </c>
      <c r="AB58" s="64" t="s">
        <v>295</v>
      </c>
    </row>
    <row r="59" spans="1:260" x14ac:dyDescent="0.2">
      <c r="B59" s="59">
        <f t="shared" si="2"/>
        <v>50</v>
      </c>
      <c r="C59" s="73"/>
      <c r="D59" s="60"/>
      <c r="E59" s="56"/>
      <c r="F59" s="61" t="s">
        <v>260</v>
      </c>
      <c r="G59" s="61" t="s">
        <v>73</v>
      </c>
      <c r="H59" s="61" t="s">
        <v>274</v>
      </c>
      <c r="I59" s="61" t="s">
        <v>72</v>
      </c>
      <c r="J59" s="62" t="s">
        <v>288</v>
      </c>
      <c r="K59" s="58"/>
      <c r="L59" s="61" t="s">
        <v>297</v>
      </c>
      <c r="M59" s="61" t="s">
        <v>141</v>
      </c>
      <c r="N59" s="61" t="s">
        <v>309</v>
      </c>
      <c r="O59" s="63" t="s">
        <v>799</v>
      </c>
      <c r="P59" s="64" t="s">
        <v>800</v>
      </c>
      <c r="Q59" s="65" t="s">
        <v>813</v>
      </c>
      <c r="R59" s="56"/>
      <c r="S59" s="64" t="s">
        <v>20</v>
      </c>
      <c r="T59" s="66">
        <v>46211</v>
      </c>
      <c r="U59" s="64" t="s">
        <v>717</v>
      </c>
      <c r="V59" s="56"/>
      <c r="W59" s="64" t="s">
        <v>323</v>
      </c>
      <c r="X59" s="56"/>
      <c r="Y59" s="64" t="s">
        <v>991</v>
      </c>
      <c r="Z59" s="64"/>
      <c r="AA59" s="64"/>
      <c r="AB59" s="64"/>
    </row>
    <row r="60" spans="1:260" x14ac:dyDescent="0.2">
      <c r="B60" s="59">
        <f t="shared" si="2"/>
        <v>51</v>
      </c>
      <c r="C60" s="73" t="s">
        <v>1039</v>
      </c>
      <c r="D60" s="60"/>
      <c r="E60" s="56"/>
      <c r="F60" s="61" t="s">
        <v>360</v>
      </c>
      <c r="G60" s="61" t="s">
        <v>70</v>
      </c>
      <c r="H60" s="61" t="s">
        <v>391</v>
      </c>
      <c r="I60" s="61" t="s">
        <v>72</v>
      </c>
      <c r="J60" s="62" t="s">
        <v>494</v>
      </c>
      <c r="K60" s="58"/>
      <c r="L60" s="61" t="s">
        <v>1059</v>
      </c>
      <c r="M60" s="61" t="s">
        <v>1050</v>
      </c>
      <c r="N60" s="62" t="s">
        <v>1060</v>
      </c>
      <c r="O60" s="63" t="s">
        <v>1058</v>
      </c>
      <c r="P60" s="64" t="s">
        <v>929</v>
      </c>
      <c r="Q60" s="61" t="s">
        <v>295</v>
      </c>
      <c r="R60" s="56"/>
      <c r="S60" s="64" t="s">
        <v>20</v>
      </c>
      <c r="T60" s="66">
        <v>46219</v>
      </c>
      <c r="U60" s="64"/>
      <c r="V60" s="56"/>
      <c r="W60" s="64" t="s">
        <v>427</v>
      </c>
      <c r="X60" s="56"/>
      <c r="Y60" s="64" t="s">
        <v>991</v>
      </c>
      <c r="Z60" s="64"/>
      <c r="AA60" s="64"/>
      <c r="AB60" s="64"/>
    </row>
    <row r="61" spans="1:260" x14ac:dyDescent="0.2">
      <c r="B61" s="59">
        <f t="shared" si="2"/>
        <v>52</v>
      </c>
      <c r="C61" s="73" t="s">
        <v>1025</v>
      </c>
      <c r="D61" s="60"/>
      <c r="E61" s="56"/>
      <c r="F61" s="61" t="s">
        <v>262</v>
      </c>
      <c r="G61" s="61" t="s">
        <v>87</v>
      </c>
      <c r="H61" s="61" t="s">
        <v>276</v>
      </c>
      <c r="I61" s="61" t="s">
        <v>72</v>
      </c>
      <c r="J61" s="62" t="s">
        <v>290</v>
      </c>
      <c r="K61" s="58"/>
      <c r="L61" s="61"/>
      <c r="M61" s="61"/>
      <c r="N61" s="61"/>
      <c r="O61" s="63" t="s">
        <v>814</v>
      </c>
      <c r="P61" s="64" t="s">
        <v>311</v>
      </c>
      <c r="Q61" s="65" t="s">
        <v>818</v>
      </c>
      <c r="R61" s="56"/>
      <c r="S61" s="64" t="s">
        <v>247</v>
      </c>
      <c r="T61" s="66"/>
      <c r="U61" s="64" t="s">
        <v>972</v>
      </c>
      <c r="V61" s="56"/>
      <c r="W61" s="64" t="s">
        <v>325</v>
      </c>
      <c r="X61" s="56"/>
      <c r="Y61" s="64" t="s">
        <v>1038</v>
      </c>
      <c r="Z61" s="64" t="s">
        <v>1121</v>
      </c>
      <c r="AA61" s="64" t="s">
        <v>295</v>
      </c>
      <c r="AB61" s="64" t="s">
        <v>295</v>
      </c>
    </row>
    <row r="62" spans="1:260" x14ac:dyDescent="0.2">
      <c r="B62" s="59">
        <f t="shared" si="2"/>
        <v>53</v>
      </c>
      <c r="C62" s="73"/>
      <c r="D62" s="60"/>
      <c r="E62" s="56"/>
      <c r="F62" s="61" t="s">
        <v>263</v>
      </c>
      <c r="G62" s="61" t="s">
        <v>73</v>
      </c>
      <c r="H62" s="61" t="s">
        <v>277</v>
      </c>
      <c r="I62" s="61" t="s">
        <v>72</v>
      </c>
      <c r="J62" s="62" t="s">
        <v>291</v>
      </c>
      <c r="K62" s="58"/>
      <c r="L62" s="61" t="s">
        <v>298</v>
      </c>
      <c r="M62" s="61" t="s">
        <v>141</v>
      </c>
      <c r="N62" s="61" t="s">
        <v>312</v>
      </c>
      <c r="O62" s="63" t="s">
        <v>802</v>
      </c>
      <c r="P62" s="64" t="s">
        <v>823</v>
      </c>
      <c r="Q62" s="64" t="s">
        <v>819</v>
      </c>
      <c r="R62" s="56"/>
      <c r="S62" s="64" t="s">
        <v>1015</v>
      </c>
      <c r="T62" s="66">
        <v>46211</v>
      </c>
      <c r="U62" s="64" t="s">
        <v>717</v>
      </c>
      <c r="V62" s="56"/>
      <c r="W62" s="64" t="s">
        <v>326</v>
      </c>
      <c r="X62" s="56"/>
      <c r="Y62" s="64" t="s">
        <v>991</v>
      </c>
      <c r="Z62" s="64"/>
      <c r="AA62" s="64"/>
      <c r="AB62" s="64"/>
    </row>
    <row r="63" spans="1:260" x14ac:dyDescent="0.2">
      <c r="B63" s="59">
        <f t="shared" si="2"/>
        <v>54</v>
      </c>
      <c r="C63" s="73"/>
      <c r="D63" s="60"/>
      <c r="E63" s="56"/>
      <c r="F63" s="61" t="s">
        <v>264</v>
      </c>
      <c r="G63" s="61" t="s">
        <v>70</v>
      </c>
      <c r="H63" s="61" t="s">
        <v>278</v>
      </c>
      <c r="I63" s="61" t="s">
        <v>72</v>
      </c>
      <c r="J63" s="62" t="s">
        <v>292</v>
      </c>
      <c r="K63" s="58"/>
      <c r="L63" s="61" t="s">
        <v>299</v>
      </c>
      <c r="M63" s="61" t="s">
        <v>141</v>
      </c>
      <c r="N63" s="61" t="s">
        <v>313</v>
      </c>
      <c r="O63" s="63" t="s">
        <v>803</v>
      </c>
      <c r="P63" s="64" t="s">
        <v>825</v>
      </c>
      <c r="Q63" s="65" t="s">
        <v>824</v>
      </c>
      <c r="R63" s="56"/>
      <c r="S63" s="64" t="s">
        <v>20</v>
      </c>
      <c r="T63" s="66">
        <v>46211</v>
      </c>
      <c r="U63" s="64" t="s">
        <v>717</v>
      </c>
      <c r="V63" s="56"/>
      <c r="W63" s="64" t="s">
        <v>327</v>
      </c>
      <c r="X63" s="56"/>
      <c r="Y63" s="64" t="s">
        <v>991</v>
      </c>
      <c r="Z63" s="64"/>
      <c r="AA63" s="64"/>
      <c r="AB63" s="64"/>
    </row>
    <row r="64" spans="1:260" x14ac:dyDescent="0.2">
      <c r="B64" s="59">
        <f t="shared" si="2"/>
        <v>55</v>
      </c>
      <c r="C64" s="73"/>
      <c r="D64" s="60"/>
      <c r="E64" s="56"/>
      <c r="F64" s="61" t="s">
        <v>265</v>
      </c>
      <c r="G64" s="61" t="s">
        <v>87</v>
      </c>
      <c r="H64" s="61" t="s">
        <v>279</v>
      </c>
      <c r="I64" s="61" t="s">
        <v>72</v>
      </c>
      <c r="J64" s="62" t="s">
        <v>293</v>
      </c>
      <c r="K64" s="58"/>
      <c r="L64" s="61" t="s">
        <v>828</v>
      </c>
      <c r="M64" s="61" t="s">
        <v>829</v>
      </c>
      <c r="N64" s="62" t="s">
        <v>827</v>
      </c>
      <c r="O64" s="63" t="s">
        <v>804</v>
      </c>
      <c r="P64" s="64" t="s">
        <v>826</v>
      </c>
      <c r="Q64" s="64" t="s">
        <v>314</v>
      </c>
      <c r="R64" s="56"/>
      <c r="S64" s="64" t="s">
        <v>20</v>
      </c>
      <c r="T64" s="66">
        <v>46211</v>
      </c>
      <c r="U64" s="64" t="s">
        <v>717</v>
      </c>
      <c r="V64" s="56"/>
      <c r="W64" s="64" t="s">
        <v>328</v>
      </c>
      <c r="X64" s="56"/>
      <c r="Y64" s="64" t="s">
        <v>991</v>
      </c>
      <c r="Z64" s="64"/>
      <c r="AA64" s="64"/>
      <c r="AB64" s="64"/>
    </row>
    <row r="65" spans="1:260" x14ac:dyDescent="0.2">
      <c r="B65" s="59">
        <f t="shared" si="2"/>
        <v>56</v>
      </c>
      <c r="C65" s="73"/>
      <c r="D65" s="60"/>
      <c r="E65" s="56"/>
      <c r="F65" s="61" t="s">
        <v>266</v>
      </c>
      <c r="G65" s="61" t="s">
        <v>73</v>
      </c>
      <c r="H65" s="61" t="s">
        <v>280</v>
      </c>
      <c r="I65" s="61" t="s">
        <v>72</v>
      </c>
      <c r="J65" s="62" t="s">
        <v>294</v>
      </c>
      <c r="K65" s="58"/>
      <c r="L65" s="61" t="s">
        <v>300</v>
      </c>
      <c r="M65" s="61" t="s">
        <v>302</v>
      </c>
      <c r="N65" s="61" t="s">
        <v>315</v>
      </c>
      <c r="O65" s="63" t="s">
        <v>805</v>
      </c>
      <c r="P65" s="64" t="s">
        <v>832</v>
      </c>
      <c r="Q65" s="64" t="s">
        <v>833</v>
      </c>
      <c r="R65" s="56"/>
      <c r="S65" s="64" t="s">
        <v>20</v>
      </c>
      <c r="T65" s="66">
        <v>46211</v>
      </c>
      <c r="U65" s="64" t="s">
        <v>717</v>
      </c>
      <c r="V65" s="56"/>
      <c r="W65" s="64" t="s">
        <v>329</v>
      </c>
      <c r="X65" s="56"/>
      <c r="Y65" s="64" t="s">
        <v>991</v>
      </c>
      <c r="Z65" s="64"/>
      <c r="AA65" s="64"/>
      <c r="AB65" s="64"/>
    </row>
    <row r="66" spans="1:260" x14ac:dyDescent="0.2">
      <c r="B66" s="59">
        <f t="shared" si="2"/>
        <v>57</v>
      </c>
      <c r="C66" s="73"/>
      <c r="D66" s="60"/>
      <c r="E66" s="56"/>
      <c r="F66" s="61" t="s">
        <v>330</v>
      </c>
      <c r="G66" s="61" t="s">
        <v>92</v>
      </c>
      <c r="H66" s="61" t="s">
        <v>370</v>
      </c>
      <c r="I66" s="61" t="s">
        <v>72</v>
      </c>
      <c r="J66" s="62" t="s">
        <v>464</v>
      </c>
      <c r="K66" s="58"/>
      <c r="L66" s="61" t="s">
        <v>438</v>
      </c>
      <c r="M66" s="61" t="s">
        <v>139</v>
      </c>
      <c r="N66" s="61" t="s">
        <v>448</v>
      </c>
      <c r="O66" s="61" t="s">
        <v>967</v>
      </c>
      <c r="P66" s="64" t="s">
        <v>836</v>
      </c>
      <c r="Q66" s="65" t="s">
        <v>835</v>
      </c>
      <c r="R66" s="56"/>
      <c r="S66" s="64" t="s">
        <v>1015</v>
      </c>
      <c r="T66" s="66">
        <v>46211</v>
      </c>
      <c r="U66" s="64" t="s">
        <v>717</v>
      </c>
      <c r="V66" s="56"/>
      <c r="W66" s="64" t="s">
        <v>396</v>
      </c>
      <c r="X66" s="56"/>
      <c r="Y66" s="64" t="s">
        <v>991</v>
      </c>
      <c r="Z66" s="64"/>
      <c r="AA66" s="64"/>
      <c r="AB66" s="64"/>
    </row>
    <row r="67" spans="1:260" s="92" customFormat="1" x14ac:dyDescent="0.2">
      <c r="A67" s="51"/>
      <c r="B67" s="59">
        <f t="shared" si="2"/>
        <v>58</v>
      </c>
      <c r="C67" s="73" t="s">
        <v>1025</v>
      </c>
      <c r="D67" s="60">
        <v>0</v>
      </c>
      <c r="E67" s="56"/>
      <c r="F67" s="61" t="s">
        <v>44</v>
      </c>
      <c r="G67" s="61" t="s">
        <v>70</v>
      </c>
      <c r="H67" s="61" t="s">
        <v>249</v>
      </c>
      <c r="I67" s="61" t="s">
        <v>72</v>
      </c>
      <c r="J67" s="62" t="s">
        <v>223</v>
      </c>
      <c r="K67" s="58"/>
      <c r="L67" s="61" t="s">
        <v>1021</v>
      </c>
      <c r="M67" s="61"/>
      <c r="N67" s="62" t="s">
        <v>1022</v>
      </c>
      <c r="O67" s="63" t="s">
        <v>752</v>
      </c>
      <c r="P67" s="64" t="s">
        <v>751</v>
      </c>
      <c r="Q67" s="65" t="s">
        <v>753</v>
      </c>
      <c r="R67" s="56"/>
      <c r="S67" s="64" t="s">
        <v>20</v>
      </c>
      <c r="T67" s="66">
        <v>46219</v>
      </c>
      <c r="U67" s="64"/>
      <c r="V67" s="56"/>
      <c r="W67" s="64" t="s">
        <v>183</v>
      </c>
      <c r="X67" s="56"/>
      <c r="Y67" s="64" t="s">
        <v>1030</v>
      </c>
      <c r="Z67" s="64"/>
      <c r="AA67" s="64"/>
      <c r="AB67" s="64"/>
      <c r="BI67" s="52"/>
      <c r="BJ67" s="52"/>
      <c r="BK67" s="52"/>
      <c r="BL67" s="52"/>
      <c r="BM67" s="52"/>
      <c r="BN67" s="52"/>
      <c r="BO67" s="52"/>
      <c r="BP67" s="52"/>
      <c r="BQ67" s="52"/>
      <c r="BR67" s="52"/>
      <c r="BS67" s="52"/>
      <c r="BT67" s="52"/>
      <c r="BU67" s="52"/>
      <c r="BV67" s="52"/>
      <c r="BW67" s="52"/>
      <c r="BX67" s="52"/>
      <c r="BY67" s="52"/>
      <c r="BZ67" s="52"/>
      <c r="CA67" s="52"/>
      <c r="CB67" s="52"/>
      <c r="CC67" s="52"/>
      <c r="CD67" s="52"/>
      <c r="CE67" s="52"/>
      <c r="CF67" s="52"/>
      <c r="CG67" s="52"/>
      <c r="CH67" s="52"/>
      <c r="CI67" s="52"/>
      <c r="CJ67" s="52"/>
      <c r="CK67" s="52"/>
      <c r="CL67" s="52"/>
      <c r="CM67" s="52"/>
      <c r="CN67" s="52"/>
      <c r="CO67" s="52"/>
      <c r="CP67" s="52"/>
      <c r="CQ67" s="52"/>
      <c r="CR67" s="52"/>
      <c r="CS67" s="52"/>
      <c r="CT67" s="52"/>
      <c r="CU67" s="52"/>
      <c r="CV67" s="52"/>
      <c r="CW67" s="52"/>
      <c r="CX67" s="52"/>
      <c r="CY67" s="52"/>
      <c r="CZ67" s="52"/>
      <c r="DA67" s="52"/>
      <c r="DB67" s="52"/>
      <c r="DC67" s="52"/>
      <c r="DD67" s="52"/>
      <c r="DE67" s="52"/>
      <c r="DF67" s="52"/>
      <c r="DG67" s="52"/>
      <c r="DH67" s="52"/>
      <c r="DI67" s="52"/>
      <c r="DJ67" s="52"/>
      <c r="DK67" s="52"/>
      <c r="DL67" s="52"/>
      <c r="DM67" s="52"/>
      <c r="DN67" s="52"/>
      <c r="DO67" s="52"/>
      <c r="DP67" s="52"/>
      <c r="DQ67" s="52"/>
      <c r="DR67" s="52"/>
      <c r="DS67" s="52"/>
      <c r="DT67" s="52"/>
      <c r="DU67" s="52"/>
      <c r="DV67" s="52"/>
      <c r="DW67" s="52"/>
      <c r="DX67" s="52"/>
      <c r="DY67" s="52"/>
      <c r="DZ67" s="52"/>
      <c r="EA67" s="52"/>
      <c r="EB67" s="52"/>
      <c r="EC67" s="52"/>
      <c r="ED67" s="52"/>
      <c r="EE67" s="52"/>
      <c r="EF67" s="52"/>
      <c r="EG67" s="52"/>
      <c r="EH67" s="52"/>
      <c r="EI67" s="52"/>
      <c r="EJ67" s="52"/>
      <c r="EK67" s="52"/>
      <c r="EL67" s="52"/>
      <c r="EM67" s="52"/>
      <c r="EN67" s="52"/>
      <c r="EO67" s="52"/>
      <c r="EP67" s="52"/>
      <c r="EQ67" s="52"/>
      <c r="ER67" s="52"/>
      <c r="ES67" s="52"/>
      <c r="ET67" s="52"/>
      <c r="EU67" s="52"/>
      <c r="EV67" s="52"/>
      <c r="EW67" s="52"/>
      <c r="EX67" s="52"/>
      <c r="EY67" s="52"/>
      <c r="EZ67" s="52"/>
      <c r="FA67" s="52"/>
      <c r="FB67" s="52"/>
      <c r="FC67" s="52"/>
      <c r="FD67" s="52"/>
      <c r="FE67" s="52"/>
      <c r="FF67" s="52"/>
      <c r="FG67" s="52"/>
      <c r="FH67" s="52"/>
      <c r="FI67" s="52"/>
      <c r="FJ67" s="52"/>
      <c r="FK67" s="52"/>
      <c r="FL67" s="52"/>
      <c r="FM67" s="52"/>
      <c r="FN67" s="52"/>
      <c r="FO67" s="52"/>
      <c r="FP67" s="52"/>
      <c r="FQ67" s="52"/>
      <c r="FR67" s="52"/>
      <c r="FS67" s="52"/>
      <c r="FT67" s="52"/>
      <c r="FU67" s="52"/>
      <c r="FV67" s="52"/>
      <c r="FW67" s="52"/>
      <c r="FX67" s="52"/>
      <c r="FY67" s="52"/>
      <c r="FZ67" s="52"/>
      <c r="GA67" s="52"/>
      <c r="GB67" s="52"/>
      <c r="GC67" s="52"/>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2"/>
      <c r="HP67" s="52"/>
      <c r="HQ67" s="52"/>
      <c r="HR67" s="52"/>
      <c r="HS67" s="52"/>
      <c r="HT67" s="52"/>
      <c r="HU67" s="52"/>
      <c r="HV67" s="52"/>
      <c r="HW67" s="52"/>
      <c r="HX67" s="52"/>
      <c r="HY67" s="52"/>
      <c r="HZ67" s="52"/>
      <c r="IA67" s="52"/>
      <c r="IB67" s="52"/>
      <c r="IC67" s="52"/>
      <c r="ID67" s="52"/>
      <c r="IE67" s="52"/>
      <c r="IF67" s="52"/>
      <c r="IG67" s="52"/>
      <c r="IH67" s="52"/>
      <c r="II67" s="52"/>
      <c r="IJ67" s="52"/>
      <c r="IK67" s="52"/>
      <c r="IL67" s="52"/>
      <c r="IM67" s="52"/>
      <c r="IN67" s="52"/>
      <c r="IO67" s="52"/>
      <c r="IP67" s="52"/>
      <c r="IQ67" s="52"/>
      <c r="IR67" s="52"/>
      <c r="IS67" s="52"/>
      <c r="IT67" s="52"/>
      <c r="IU67" s="52"/>
      <c r="IV67" s="52"/>
      <c r="IW67" s="52"/>
      <c r="IX67" s="52"/>
      <c r="IY67" s="52"/>
      <c r="IZ67" s="52"/>
    </row>
    <row r="68" spans="1:260" x14ac:dyDescent="0.2">
      <c r="B68" s="59">
        <f t="shared" si="2"/>
        <v>59</v>
      </c>
      <c r="C68" s="73" t="s">
        <v>1025</v>
      </c>
      <c r="D68" s="60">
        <v>0</v>
      </c>
      <c r="E68" s="56"/>
      <c r="F68" s="61" t="s">
        <v>45</v>
      </c>
      <c r="G68" s="61" t="s">
        <v>73</v>
      </c>
      <c r="H68" s="61" t="s">
        <v>94</v>
      </c>
      <c r="I68" s="61" t="s">
        <v>77</v>
      </c>
      <c r="J68" s="62" t="s">
        <v>224</v>
      </c>
      <c r="K68" s="58"/>
      <c r="L68" s="61" t="s">
        <v>116</v>
      </c>
      <c r="M68" s="61" t="s">
        <v>137</v>
      </c>
      <c r="N68" s="62" t="s">
        <v>1023</v>
      </c>
      <c r="O68" s="63" t="s">
        <v>755</v>
      </c>
      <c r="P68" s="64" t="s">
        <v>754</v>
      </c>
      <c r="Q68" s="65" t="s">
        <v>756</v>
      </c>
      <c r="R68" s="56"/>
      <c r="S68" s="64" t="s">
        <v>20</v>
      </c>
      <c r="T68" s="66">
        <v>46219</v>
      </c>
      <c r="U68" s="64"/>
      <c r="V68" s="56"/>
      <c r="W68" s="64" t="s">
        <v>184</v>
      </c>
      <c r="X68" s="56"/>
      <c r="Y68" s="64" t="s">
        <v>1024</v>
      </c>
      <c r="Z68" s="64"/>
      <c r="AA68" s="64"/>
      <c r="AB68" s="64"/>
    </row>
    <row r="69" spans="1:260" s="92" customFormat="1" x14ac:dyDescent="0.2">
      <c r="A69" s="51"/>
      <c r="B69" s="59">
        <f t="shared" si="2"/>
        <v>60</v>
      </c>
      <c r="C69" s="73" t="s">
        <v>1025</v>
      </c>
      <c r="D69" s="60"/>
      <c r="E69" s="96"/>
      <c r="F69" s="61" t="s">
        <v>333</v>
      </c>
      <c r="G69" s="61" t="s">
        <v>70</v>
      </c>
      <c r="H69" s="61" t="s">
        <v>372</v>
      </c>
      <c r="I69" s="61" t="s">
        <v>72</v>
      </c>
      <c r="J69" s="62" t="s">
        <v>467</v>
      </c>
      <c r="K69" s="97"/>
      <c r="L69" s="61" t="s">
        <v>439</v>
      </c>
      <c r="M69" s="61" t="s">
        <v>446</v>
      </c>
      <c r="N69" s="61"/>
      <c r="O69" s="63" t="s">
        <v>817</v>
      </c>
      <c r="P69" s="64"/>
      <c r="Q69" s="64" t="s">
        <v>451</v>
      </c>
      <c r="R69" s="96"/>
      <c r="S69" s="64" t="s">
        <v>1094</v>
      </c>
      <c r="T69" s="66"/>
      <c r="U69" s="64"/>
      <c r="V69" s="96"/>
      <c r="W69" s="64" t="s">
        <v>399</v>
      </c>
      <c r="X69" s="96"/>
      <c r="Y69" s="64" t="s">
        <v>991</v>
      </c>
      <c r="Z69" s="64"/>
      <c r="AA69" s="64"/>
      <c r="AB69" s="64"/>
      <c r="BI69" s="52"/>
      <c r="BJ69" s="52"/>
      <c r="BK69" s="52"/>
      <c r="BL69" s="52"/>
      <c r="BM69" s="52"/>
      <c r="BN69" s="52"/>
      <c r="BO69" s="52"/>
      <c r="BP69" s="52"/>
      <c r="BQ69" s="52"/>
      <c r="BR69" s="52"/>
      <c r="BS69" s="52"/>
      <c r="BT69" s="52"/>
      <c r="BU69" s="52"/>
      <c r="BV69" s="52"/>
      <c r="BW69" s="52"/>
      <c r="BX69" s="52"/>
      <c r="BY69" s="52"/>
      <c r="BZ69" s="52"/>
      <c r="CA69" s="52"/>
      <c r="CB69" s="52"/>
      <c r="CC69" s="52"/>
      <c r="CD69" s="52"/>
      <c r="CE69" s="52"/>
      <c r="CF69" s="52"/>
      <c r="CG69" s="52"/>
      <c r="CH69" s="52"/>
      <c r="CI69" s="52"/>
      <c r="CJ69" s="52"/>
      <c r="CK69" s="52"/>
      <c r="CL69" s="52"/>
      <c r="CM69" s="52"/>
      <c r="CN69" s="52"/>
      <c r="CO69" s="52"/>
      <c r="CP69" s="52"/>
      <c r="CQ69" s="52"/>
      <c r="CR69" s="52"/>
      <c r="CS69" s="52"/>
      <c r="CT69" s="52"/>
      <c r="CU69" s="52"/>
      <c r="CV69" s="52"/>
      <c r="CW69" s="52"/>
      <c r="CX69" s="52"/>
      <c r="CY69" s="52"/>
      <c r="CZ69" s="52"/>
      <c r="DA69" s="52"/>
      <c r="DB69" s="52"/>
      <c r="DC69" s="52"/>
      <c r="DD69" s="52"/>
      <c r="DE69" s="52"/>
      <c r="DF69" s="52"/>
      <c r="DG69" s="52"/>
      <c r="DH69" s="52"/>
      <c r="DI69" s="52"/>
      <c r="DJ69" s="52"/>
      <c r="DK69" s="52"/>
      <c r="DL69" s="52"/>
      <c r="DM69" s="52"/>
      <c r="DN69" s="52"/>
      <c r="DO69" s="52"/>
      <c r="DP69" s="52"/>
      <c r="DQ69" s="52"/>
      <c r="DR69" s="52"/>
      <c r="DS69" s="52"/>
      <c r="DT69" s="52"/>
      <c r="DU69" s="52"/>
      <c r="DV69" s="52"/>
      <c r="DW69" s="52"/>
      <c r="DX69" s="52"/>
      <c r="DY69" s="52"/>
      <c r="DZ69" s="52"/>
      <c r="EA69" s="52"/>
      <c r="EB69" s="52"/>
      <c r="EC69" s="52"/>
      <c r="ED69" s="52"/>
      <c r="EE69" s="52"/>
      <c r="EF69" s="52"/>
      <c r="EG69" s="52"/>
      <c r="EH69" s="52"/>
      <c r="EI69" s="52"/>
      <c r="EJ69" s="52"/>
      <c r="EK69" s="52"/>
      <c r="EL69" s="52"/>
      <c r="EM69" s="52"/>
      <c r="EN69" s="52"/>
      <c r="EO69" s="52"/>
      <c r="EP69" s="52"/>
      <c r="EQ69" s="52"/>
      <c r="ER69" s="52"/>
      <c r="ES69" s="52"/>
      <c r="ET69" s="52"/>
      <c r="EU69" s="52"/>
      <c r="EV69" s="52"/>
      <c r="EW69" s="52"/>
      <c r="EX69" s="52"/>
      <c r="EY69" s="52"/>
      <c r="EZ69" s="52"/>
      <c r="FA69" s="52"/>
      <c r="FB69" s="52"/>
      <c r="FC69" s="52"/>
      <c r="FD69" s="52"/>
      <c r="FE69" s="52"/>
      <c r="FF69" s="52"/>
      <c r="FG69" s="52"/>
      <c r="FH69" s="52"/>
      <c r="FI69" s="52"/>
      <c r="FJ69" s="52"/>
      <c r="FK69" s="52"/>
      <c r="FL69" s="52"/>
      <c r="FM69" s="52"/>
      <c r="FN69" s="52"/>
      <c r="FO69" s="52"/>
      <c r="FP69" s="52"/>
      <c r="FQ69" s="52"/>
      <c r="FR69" s="52"/>
      <c r="FS69" s="52"/>
      <c r="FT69" s="52"/>
      <c r="FU69" s="52"/>
      <c r="FV69" s="52"/>
      <c r="FW69" s="52"/>
      <c r="FX69" s="52"/>
      <c r="FY69" s="52"/>
      <c r="FZ69" s="52"/>
      <c r="GA69" s="52"/>
      <c r="GB69" s="52"/>
      <c r="GC69" s="52"/>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2"/>
      <c r="HP69" s="52"/>
      <c r="HQ69" s="52"/>
      <c r="HR69" s="52"/>
      <c r="HS69" s="52"/>
      <c r="HT69" s="52"/>
      <c r="HU69" s="52"/>
      <c r="HV69" s="52"/>
      <c r="HW69" s="52"/>
      <c r="HX69" s="52"/>
      <c r="HY69" s="52"/>
      <c r="HZ69" s="52"/>
      <c r="IA69" s="52"/>
      <c r="IB69" s="52"/>
      <c r="IC69" s="52"/>
      <c r="ID69" s="52"/>
      <c r="IE69" s="52"/>
      <c r="IF69" s="52"/>
      <c r="IG69" s="52"/>
      <c r="IH69" s="52"/>
      <c r="II69" s="52"/>
      <c r="IJ69" s="52"/>
      <c r="IK69" s="52"/>
      <c r="IL69" s="52"/>
      <c r="IM69" s="52"/>
      <c r="IN69" s="52"/>
      <c r="IO69" s="52"/>
      <c r="IP69" s="52"/>
      <c r="IQ69" s="52"/>
      <c r="IR69" s="52"/>
      <c r="IS69" s="52"/>
      <c r="IT69" s="52"/>
      <c r="IU69" s="52"/>
      <c r="IV69" s="52"/>
      <c r="IW69" s="52"/>
      <c r="IX69" s="52"/>
      <c r="IY69" s="52"/>
      <c r="IZ69" s="52"/>
    </row>
    <row r="70" spans="1:260" s="92" customFormat="1" x14ac:dyDescent="0.2">
      <c r="A70" s="51"/>
      <c r="B70" s="59">
        <f t="shared" si="2"/>
        <v>61</v>
      </c>
      <c r="C70" s="73" t="s">
        <v>1025</v>
      </c>
      <c r="D70" s="60"/>
      <c r="E70" s="96"/>
      <c r="F70" s="61" t="s">
        <v>334</v>
      </c>
      <c r="G70" s="61" t="s">
        <v>70</v>
      </c>
      <c r="H70" s="61" t="s">
        <v>373</v>
      </c>
      <c r="I70" s="61" t="s">
        <v>72</v>
      </c>
      <c r="J70" s="61" t="s">
        <v>468</v>
      </c>
      <c r="K70" s="97"/>
      <c r="L70" s="61" t="s">
        <v>440</v>
      </c>
      <c r="M70" s="61" t="s">
        <v>161</v>
      </c>
      <c r="N70" s="61"/>
      <c r="O70" s="63" t="s">
        <v>870</v>
      </c>
      <c r="P70" s="64" t="s">
        <v>871</v>
      </c>
      <c r="Q70" s="64" t="s">
        <v>452</v>
      </c>
      <c r="R70" s="96"/>
      <c r="S70" s="64" t="s">
        <v>1094</v>
      </c>
      <c r="T70" s="66"/>
      <c r="U70" s="64"/>
      <c r="V70" s="96"/>
      <c r="W70" s="64" t="s">
        <v>400</v>
      </c>
      <c r="X70" s="96"/>
      <c r="Y70" s="64" t="s">
        <v>991</v>
      </c>
      <c r="Z70" s="64"/>
      <c r="AA70" s="64"/>
      <c r="AB70" s="64"/>
      <c r="BI70" s="52"/>
      <c r="BJ70" s="52"/>
      <c r="BK70" s="52"/>
      <c r="BL70" s="52"/>
      <c r="BM70" s="52"/>
      <c r="BN70" s="52"/>
      <c r="BO70" s="52"/>
      <c r="BP70" s="52"/>
      <c r="BQ70" s="52"/>
      <c r="BR70" s="52"/>
      <c r="BS70" s="52"/>
      <c r="BT70" s="52"/>
      <c r="BU70" s="52"/>
      <c r="BV70" s="52"/>
      <c r="BW70" s="52"/>
      <c r="BX70" s="52"/>
      <c r="BY70" s="52"/>
      <c r="BZ70" s="52"/>
      <c r="CA70" s="52"/>
      <c r="CB70" s="52"/>
      <c r="CC70" s="52"/>
      <c r="CD70" s="52"/>
      <c r="CE70" s="52"/>
      <c r="CF70" s="52"/>
      <c r="CG70" s="52"/>
      <c r="CH70" s="52"/>
      <c r="CI70" s="52"/>
      <c r="CJ70" s="52"/>
      <c r="CK70" s="52"/>
      <c r="CL70" s="52"/>
      <c r="CM70" s="52"/>
      <c r="CN70" s="52"/>
      <c r="CO70" s="52"/>
      <c r="CP70" s="52"/>
      <c r="CQ70" s="52"/>
      <c r="CR70" s="52"/>
      <c r="CS70" s="52"/>
      <c r="CT70" s="52"/>
      <c r="CU70" s="52"/>
      <c r="CV70" s="52"/>
      <c r="CW70" s="52"/>
      <c r="CX70" s="52"/>
      <c r="CY70" s="52"/>
      <c r="CZ70" s="52"/>
      <c r="DA70" s="52"/>
      <c r="DB70" s="52"/>
      <c r="DC70" s="52"/>
      <c r="DD70" s="52"/>
      <c r="DE70" s="52"/>
      <c r="DF70" s="52"/>
      <c r="DG70" s="52"/>
      <c r="DH70" s="52"/>
      <c r="DI70" s="52"/>
      <c r="DJ70" s="52"/>
      <c r="DK70" s="52"/>
      <c r="DL70" s="52"/>
      <c r="DM70" s="52"/>
      <c r="DN70" s="52"/>
      <c r="DO70" s="52"/>
      <c r="DP70" s="52"/>
      <c r="DQ70" s="52"/>
      <c r="DR70" s="52"/>
      <c r="DS70" s="52"/>
      <c r="DT70" s="52"/>
      <c r="DU70" s="52"/>
      <c r="DV70" s="52"/>
      <c r="DW70" s="52"/>
      <c r="DX70" s="52"/>
      <c r="DY70" s="52"/>
      <c r="DZ70" s="52"/>
      <c r="EA70" s="52"/>
      <c r="EB70" s="52"/>
      <c r="EC70" s="52"/>
      <c r="ED70" s="52"/>
      <c r="EE70" s="52"/>
      <c r="EF70" s="52"/>
      <c r="EG70" s="52"/>
      <c r="EH70" s="52"/>
      <c r="EI70" s="52"/>
      <c r="EJ70" s="52"/>
      <c r="EK70" s="52"/>
      <c r="EL70" s="52"/>
      <c r="EM70" s="52"/>
      <c r="EN70" s="52"/>
      <c r="EO70" s="52"/>
      <c r="EP70" s="52"/>
      <c r="EQ70" s="52"/>
      <c r="ER70" s="52"/>
      <c r="ES70" s="52"/>
      <c r="ET70" s="52"/>
      <c r="EU70" s="52"/>
      <c r="EV70" s="52"/>
      <c r="EW70" s="52"/>
      <c r="EX70" s="52"/>
      <c r="EY70" s="52"/>
      <c r="EZ70" s="52"/>
      <c r="FA70" s="52"/>
      <c r="FB70" s="52"/>
      <c r="FC70" s="52"/>
      <c r="FD70" s="52"/>
      <c r="FE70" s="52"/>
      <c r="FF70" s="52"/>
      <c r="FG70" s="52"/>
      <c r="FH70" s="52"/>
      <c r="FI70" s="52"/>
      <c r="FJ70" s="52"/>
      <c r="FK70" s="52"/>
      <c r="FL70" s="52"/>
      <c r="FM70" s="52"/>
      <c r="FN70" s="52"/>
      <c r="FO70" s="52"/>
      <c r="FP70" s="52"/>
      <c r="FQ70" s="52"/>
      <c r="FR70" s="52"/>
      <c r="FS70" s="52"/>
      <c r="FT70" s="52"/>
      <c r="FU70" s="52"/>
      <c r="FV70" s="52"/>
      <c r="FW70" s="52"/>
      <c r="FX70" s="52"/>
      <c r="FY70" s="52"/>
      <c r="FZ70" s="52"/>
      <c r="GA70" s="52"/>
      <c r="GB70" s="52"/>
      <c r="GC70" s="52"/>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2"/>
      <c r="HP70" s="52"/>
      <c r="HQ70" s="52"/>
      <c r="HR70" s="52"/>
      <c r="HS70" s="52"/>
      <c r="HT70" s="52"/>
      <c r="HU70" s="52"/>
      <c r="HV70" s="52"/>
      <c r="HW70" s="52"/>
      <c r="HX70" s="52"/>
      <c r="HY70" s="52"/>
      <c r="HZ70" s="52"/>
      <c r="IA70" s="52"/>
      <c r="IB70" s="52"/>
      <c r="IC70" s="52"/>
      <c r="ID70" s="52"/>
      <c r="IE70" s="52"/>
      <c r="IF70" s="52"/>
      <c r="IG70" s="52"/>
      <c r="IH70" s="52"/>
      <c r="II70" s="52"/>
      <c r="IJ70" s="52"/>
      <c r="IK70" s="52"/>
      <c r="IL70" s="52"/>
      <c r="IM70" s="52"/>
      <c r="IN70" s="52"/>
      <c r="IO70" s="52"/>
      <c r="IP70" s="52"/>
      <c r="IQ70" s="52"/>
      <c r="IR70" s="52"/>
      <c r="IS70" s="52"/>
      <c r="IT70" s="52"/>
      <c r="IU70" s="52"/>
      <c r="IV70" s="52"/>
      <c r="IW70" s="52"/>
      <c r="IX70" s="52"/>
      <c r="IY70" s="52"/>
      <c r="IZ70" s="52"/>
    </row>
    <row r="71" spans="1:260" x14ac:dyDescent="0.2">
      <c r="B71" s="59">
        <f t="shared" si="2"/>
        <v>62</v>
      </c>
      <c r="C71" s="73" t="s">
        <v>1025</v>
      </c>
      <c r="D71" s="60">
        <v>0</v>
      </c>
      <c r="E71" s="56"/>
      <c r="F71" s="61" t="s">
        <v>47</v>
      </c>
      <c r="G71" s="61" t="s">
        <v>73</v>
      </c>
      <c r="H71" s="61" t="s">
        <v>96</v>
      </c>
      <c r="I71" s="61" t="s">
        <v>75</v>
      </c>
      <c r="J71" s="62" t="s">
        <v>226</v>
      </c>
      <c r="K71" s="58"/>
      <c r="L71" s="61" t="s">
        <v>108</v>
      </c>
      <c r="M71" s="61" t="s">
        <v>136</v>
      </c>
      <c r="N71" s="61" t="s">
        <v>135</v>
      </c>
      <c r="O71" s="68" t="s">
        <v>952</v>
      </c>
      <c r="P71" s="64" t="s">
        <v>684</v>
      </c>
      <c r="Q71" s="65" t="s">
        <v>758</v>
      </c>
      <c r="R71" s="56"/>
      <c r="S71" s="64" t="s">
        <v>20</v>
      </c>
      <c r="T71" s="66">
        <v>46219</v>
      </c>
      <c r="U71" s="64"/>
      <c r="V71" s="56"/>
      <c r="W71" s="64" t="s">
        <v>186</v>
      </c>
      <c r="X71" s="56"/>
      <c r="Y71" s="64" t="s">
        <v>1026</v>
      </c>
      <c r="Z71" s="64"/>
      <c r="AA71" s="64"/>
      <c r="AB71" s="64"/>
    </row>
    <row r="72" spans="1:260" x14ac:dyDescent="0.2">
      <c r="B72" s="59">
        <f t="shared" si="2"/>
        <v>63</v>
      </c>
      <c r="C72" s="73"/>
      <c r="D72" s="60"/>
      <c r="E72" s="56"/>
      <c r="F72" s="61" t="s">
        <v>336</v>
      </c>
      <c r="G72" s="61" t="s">
        <v>87</v>
      </c>
      <c r="H72" s="61" t="s">
        <v>375</v>
      </c>
      <c r="I72" s="61" t="s">
        <v>72</v>
      </c>
      <c r="J72" s="62" t="s">
        <v>470</v>
      </c>
      <c r="K72" s="58"/>
      <c r="L72" s="61" t="s">
        <v>441</v>
      </c>
      <c r="M72" s="61" t="s">
        <v>139</v>
      </c>
      <c r="N72" s="61" t="s">
        <v>454</v>
      </c>
      <c r="O72" s="63" t="s">
        <v>877</v>
      </c>
      <c r="P72" s="64" t="s">
        <v>876</v>
      </c>
      <c r="Q72" s="64"/>
      <c r="R72" s="56"/>
      <c r="S72" s="64" t="s">
        <v>1015</v>
      </c>
      <c r="T72" s="66">
        <v>46211</v>
      </c>
      <c r="U72" s="64" t="s">
        <v>717</v>
      </c>
      <c r="V72" s="56"/>
      <c r="W72" s="64" t="s">
        <v>402</v>
      </c>
      <c r="X72" s="56"/>
      <c r="Y72" s="64" t="s">
        <v>991</v>
      </c>
      <c r="Z72" s="64"/>
      <c r="AA72" s="64"/>
      <c r="AB72" s="64"/>
    </row>
    <row r="73" spans="1:260" x14ac:dyDescent="0.2">
      <c r="B73" s="59">
        <f t="shared" si="2"/>
        <v>64</v>
      </c>
      <c r="C73" s="73"/>
      <c r="D73" s="60"/>
      <c r="E73" s="56"/>
      <c r="F73" s="61" t="s">
        <v>337</v>
      </c>
      <c r="G73" s="61" t="s">
        <v>70</v>
      </c>
      <c r="H73" s="61" t="s">
        <v>376</v>
      </c>
      <c r="I73" s="61" t="s">
        <v>72</v>
      </c>
      <c r="J73" s="61" t="s">
        <v>471</v>
      </c>
      <c r="K73" s="58"/>
      <c r="L73" s="61" t="s">
        <v>442</v>
      </c>
      <c r="M73" s="61" t="s">
        <v>139</v>
      </c>
      <c r="N73" s="61" t="s">
        <v>455</v>
      </c>
      <c r="O73" s="63" t="s">
        <v>880</v>
      </c>
      <c r="P73" s="64" t="s">
        <v>878</v>
      </c>
      <c r="Q73" s="64"/>
      <c r="R73" s="56"/>
      <c r="S73" s="64" t="s">
        <v>20</v>
      </c>
      <c r="T73" s="66">
        <v>46211</v>
      </c>
      <c r="U73" s="64" t="s">
        <v>717</v>
      </c>
      <c r="V73" s="56"/>
      <c r="W73" s="64" t="s">
        <v>403</v>
      </c>
      <c r="X73" s="56"/>
      <c r="Y73" s="64" t="s">
        <v>991</v>
      </c>
      <c r="Z73" s="64"/>
      <c r="AA73" s="64"/>
      <c r="AB73" s="64"/>
    </row>
    <row r="74" spans="1:260" x14ac:dyDescent="0.2">
      <c r="B74" s="59">
        <f t="shared" si="2"/>
        <v>65</v>
      </c>
      <c r="C74" s="73" t="s">
        <v>1025</v>
      </c>
      <c r="D74" s="60"/>
      <c r="E74" s="56"/>
      <c r="F74" s="61" t="s">
        <v>335</v>
      </c>
      <c r="G74" s="61" t="s">
        <v>73</v>
      </c>
      <c r="H74" s="61" t="s">
        <v>374</v>
      </c>
      <c r="I74" s="61" t="s">
        <v>72</v>
      </c>
      <c r="J74" s="62" t="s">
        <v>469</v>
      </c>
      <c r="K74" s="58"/>
      <c r="L74" s="61" t="s">
        <v>1084</v>
      </c>
      <c r="M74" s="61" t="s">
        <v>447</v>
      </c>
      <c r="N74" s="62" t="s">
        <v>1085</v>
      </c>
      <c r="O74" s="63" t="s">
        <v>874</v>
      </c>
      <c r="P74" s="64" t="s">
        <v>873</v>
      </c>
      <c r="Q74" s="64" t="s">
        <v>453</v>
      </c>
      <c r="R74" s="56"/>
      <c r="S74" s="64" t="s">
        <v>20</v>
      </c>
      <c r="T74" s="66">
        <v>46219</v>
      </c>
      <c r="U74" s="64"/>
      <c r="V74" s="56"/>
      <c r="W74" s="64" t="s">
        <v>401</v>
      </c>
      <c r="X74" s="56"/>
      <c r="Y74" s="64" t="s">
        <v>1030</v>
      </c>
      <c r="Z74" s="64"/>
      <c r="AA74" s="64"/>
      <c r="AB74" s="64"/>
    </row>
    <row r="75" spans="1:260" s="92" customFormat="1" x14ac:dyDescent="0.2">
      <c r="A75" s="51"/>
      <c r="B75" s="59">
        <f t="shared" si="2"/>
        <v>66</v>
      </c>
      <c r="C75" s="73" t="s">
        <v>1025</v>
      </c>
      <c r="D75" s="60"/>
      <c r="E75" s="96"/>
      <c r="F75" s="61" t="s">
        <v>339</v>
      </c>
      <c r="G75" s="61" t="s">
        <v>70</v>
      </c>
      <c r="H75" s="61" t="s">
        <v>378</v>
      </c>
      <c r="I75" s="61" t="s">
        <v>72</v>
      </c>
      <c r="J75" s="61" t="s">
        <v>473</v>
      </c>
      <c r="K75" s="97"/>
      <c r="L75" s="61" t="s">
        <v>443</v>
      </c>
      <c r="M75" s="61" t="s">
        <v>139</v>
      </c>
      <c r="N75" s="61"/>
      <c r="O75" s="63" t="s">
        <v>456</v>
      </c>
      <c r="P75" s="64"/>
      <c r="Q75" s="64"/>
      <c r="R75" s="96"/>
      <c r="S75" s="64" t="s">
        <v>247</v>
      </c>
      <c r="T75" s="66"/>
      <c r="U75" s="64"/>
      <c r="V75" s="96"/>
      <c r="W75" s="64" t="s">
        <v>405</v>
      </c>
      <c r="X75" s="96"/>
      <c r="Y75" s="64" t="s">
        <v>991</v>
      </c>
      <c r="Z75" s="64"/>
      <c r="AA75" s="64"/>
      <c r="AB75" s="64"/>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2"/>
      <c r="CI75" s="52"/>
      <c r="CJ75" s="52"/>
      <c r="CK75" s="52"/>
      <c r="CL75" s="52"/>
      <c r="CM75" s="52"/>
      <c r="CN75" s="52"/>
      <c r="CO75" s="52"/>
      <c r="CP75" s="52"/>
      <c r="CQ75" s="52"/>
      <c r="CR75" s="52"/>
      <c r="CS75" s="52"/>
      <c r="CT75" s="52"/>
      <c r="CU75" s="52"/>
      <c r="CV75" s="52"/>
      <c r="CW75" s="52"/>
      <c r="CX75" s="52"/>
      <c r="CY75" s="52"/>
      <c r="CZ75" s="52"/>
      <c r="DA75" s="52"/>
      <c r="DB75" s="52"/>
      <c r="DC75" s="52"/>
      <c r="DD75" s="52"/>
      <c r="DE75" s="52"/>
      <c r="DF75" s="52"/>
      <c r="DG75" s="52"/>
      <c r="DH75" s="52"/>
      <c r="DI75" s="52"/>
      <c r="DJ75" s="52"/>
      <c r="DK75" s="52"/>
      <c r="DL75" s="52"/>
      <c r="DM75" s="52"/>
      <c r="DN75" s="52"/>
      <c r="DO75" s="52"/>
      <c r="DP75" s="52"/>
      <c r="DQ75" s="52"/>
      <c r="DR75" s="52"/>
      <c r="DS75" s="52"/>
      <c r="DT75" s="52"/>
      <c r="DU75" s="52"/>
      <c r="DV75" s="52"/>
      <c r="DW75" s="52"/>
      <c r="DX75" s="52"/>
      <c r="DY75" s="52"/>
      <c r="DZ75" s="52"/>
      <c r="EA75" s="52"/>
      <c r="EB75" s="52"/>
      <c r="EC75" s="52"/>
      <c r="ED75" s="52"/>
      <c r="EE75" s="52"/>
      <c r="EF75" s="52"/>
      <c r="EG75" s="52"/>
      <c r="EH75" s="52"/>
      <c r="EI75" s="52"/>
      <c r="EJ75" s="52"/>
      <c r="EK75" s="52"/>
      <c r="EL75" s="52"/>
      <c r="EM75" s="52"/>
      <c r="EN75" s="52"/>
      <c r="EO75" s="52"/>
      <c r="EP75" s="52"/>
      <c r="EQ75" s="52"/>
      <c r="ER75" s="52"/>
      <c r="ES75" s="52"/>
      <c r="ET75" s="52"/>
      <c r="EU75" s="52"/>
      <c r="EV75" s="52"/>
      <c r="EW75" s="52"/>
      <c r="EX75" s="52"/>
      <c r="EY75" s="52"/>
      <c r="EZ75" s="52"/>
      <c r="FA75" s="52"/>
      <c r="FB75" s="52"/>
      <c r="FC75" s="52"/>
      <c r="FD75" s="52"/>
      <c r="FE75" s="52"/>
      <c r="FF75" s="52"/>
      <c r="FG75" s="52"/>
      <c r="FH75" s="52"/>
      <c r="FI75" s="52"/>
      <c r="FJ75" s="52"/>
      <c r="FK75" s="52"/>
      <c r="FL75" s="52"/>
      <c r="FM75" s="52"/>
      <c r="FN75" s="52"/>
      <c r="FO75" s="52"/>
      <c r="FP75" s="52"/>
      <c r="FQ75" s="52"/>
      <c r="FR75" s="52"/>
      <c r="FS75" s="52"/>
      <c r="FT75" s="52"/>
      <c r="FU75" s="52"/>
      <c r="FV75" s="52"/>
      <c r="FW75" s="52"/>
      <c r="FX75" s="52"/>
      <c r="FY75" s="52"/>
      <c r="FZ75" s="52"/>
      <c r="GA75" s="52"/>
      <c r="GB75" s="52"/>
      <c r="GC75" s="52"/>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2"/>
      <c r="HP75" s="52"/>
      <c r="HQ75" s="52"/>
      <c r="HR75" s="52"/>
      <c r="HS75" s="52"/>
      <c r="HT75" s="52"/>
      <c r="HU75" s="52"/>
      <c r="HV75" s="52"/>
      <c r="HW75" s="52"/>
      <c r="HX75" s="52"/>
      <c r="HY75" s="52"/>
      <c r="HZ75" s="52"/>
      <c r="IA75" s="52"/>
      <c r="IB75" s="52"/>
      <c r="IC75" s="52"/>
      <c r="ID75" s="52"/>
      <c r="IE75" s="52"/>
      <c r="IF75" s="52"/>
      <c r="IG75" s="52"/>
      <c r="IH75" s="52"/>
      <c r="II75" s="52"/>
      <c r="IJ75" s="52"/>
      <c r="IK75" s="52"/>
      <c r="IL75" s="52"/>
      <c r="IM75" s="52"/>
      <c r="IN75" s="52"/>
      <c r="IO75" s="52"/>
      <c r="IP75" s="52"/>
      <c r="IQ75" s="52"/>
      <c r="IR75" s="52"/>
      <c r="IS75" s="52"/>
      <c r="IT75" s="52"/>
      <c r="IU75" s="52"/>
      <c r="IV75" s="52"/>
      <c r="IW75" s="52"/>
      <c r="IX75" s="52"/>
      <c r="IY75" s="52"/>
      <c r="IZ75" s="52"/>
    </row>
    <row r="76" spans="1:260" x14ac:dyDescent="0.2">
      <c r="B76" s="59">
        <f t="shared" si="2"/>
        <v>67</v>
      </c>
      <c r="C76" s="73"/>
      <c r="D76" s="60"/>
      <c r="E76" s="56"/>
      <c r="F76" s="61" t="s">
        <v>340</v>
      </c>
      <c r="G76" s="61" t="s">
        <v>70</v>
      </c>
      <c r="H76" s="61" t="s">
        <v>379</v>
      </c>
      <c r="I76" s="61" t="s">
        <v>75</v>
      </c>
      <c r="J76" s="61" t="s">
        <v>474</v>
      </c>
      <c r="K76" s="58"/>
      <c r="L76" s="61" t="s">
        <v>444</v>
      </c>
      <c r="M76" s="61" t="s">
        <v>139</v>
      </c>
      <c r="N76" s="61" t="s">
        <v>457</v>
      </c>
      <c r="O76" s="63" t="s">
        <v>890</v>
      </c>
      <c r="P76" s="64" t="s">
        <v>888</v>
      </c>
      <c r="Q76" s="64"/>
      <c r="R76" s="56"/>
      <c r="S76" s="64" t="s">
        <v>1015</v>
      </c>
      <c r="T76" s="66">
        <v>46211</v>
      </c>
      <c r="U76" s="64" t="s">
        <v>717</v>
      </c>
      <c r="V76" s="56"/>
      <c r="W76" s="64" t="s">
        <v>406</v>
      </c>
      <c r="X76" s="56"/>
      <c r="Y76" s="64" t="s">
        <v>991</v>
      </c>
      <c r="Z76" s="64"/>
      <c r="AA76" s="64"/>
      <c r="AB76" s="64"/>
    </row>
    <row r="77" spans="1:260" x14ac:dyDescent="0.2">
      <c r="B77" s="59">
        <f t="shared" si="2"/>
        <v>68</v>
      </c>
      <c r="C77" s="73"/>
      <c r="D77" s="60"/>
      <c r="E77" s="56"/>
      <c r="F77" s="61" t="s">
        <v>341</v>
      </c>
      <c r="G77" s="61" t="s">
        <v>70</v>
      </c>
      <c r="H77" s="61" t="s">
        <v>274</v>
      </c>
      <c r="I77" s="61" t="s">
        <v>75</v>
      </c>
      <c r="J77" s="62" t="s">
        <v>475</v>
      </c>
      <c r="K77" s="58"/>
      <c r="L77" s="61" t="s">
        <v>445</v>
      </c>
      <c r="M77" s="61" t="s">
        <v>139</v>
      </c>
      <c r="N77" s="61" t="s">
        <v>458</v>
      </c>
      <c r="O77" s="63" t="s">
        <v>886</v>
      </c>
      <c r="P77" s="64" t="s">
        <v>884</v>
      </c>
      <c r="Q77" s="64"/>
      <c r="R77" s="56"/>
      <c r="S77" s="64" t="s">
        <v>1015</v>
      </c>
      <c r="T77" s="66">
        <v>46211</v>
      </c>
      <c r="U77" s="64" t="s">
        <v>717</v>
      </c>
      <c r="V77" s="56"/>
      <c r="W77" s="64" t="s">
        <v>407</v>
      </c>
      <c r="X77" s="56"/>
      <c r="Y77" s="64" t="s">
        <v>991</v>
      </c>
      <c r="Z77" s="64"/>
      <c r="AA77" s="64"/>
      <c r="AB77" s="64"/>
    </row>
    <row r="78" spans="1:260" x14ac:dyDescent="0.2">
      <c r="B78" s="59">
        <f t="shared" ref="B78:B109" si="3">+B77+1</f>
        <v>69</v>
      </c>
      <c r="C78" s="73" t="s">
        <v>1025</v>
      </c>
      <c r="D78" s="60"/>
      <c r="E78" s="96"/>
      <c r="F78" s="61" t="s">
        <v>331</v>
      </c>
      <c r="G78" s="61" t="s">
        <v>87</v>
      </c>
      <c r="H78" s="61" t="s">
        <v>88</v>
      </c>
      <c r="I78" s="61" t="s">
        <v>77</v>
      </c>
      <c r="J78" s="62" t="s">
        <v>465</v>
      </c>
      <c r="K78" s="97"/>
      <c r="L78" s="61" t="s">
        <v>996</v>
      </c>
      <c r="M78" s="61"/>
      <c r="N78" s="62" t="s">
        <v>1100</v>
      </c>
      <c r="O78" s="61" t="s">
        <v>815</v>
      </c>
      <c r="P78" s="64" t="s">
        <v>841</v>
      </c>
      <c r="Q78" s="64" t="s">
        <v>449</v>
      </c>
      <c r="R78" s="96"/>
      <c r="S78" s="64" t="s">
        <v>20</v>
      </c>
      <c r="T78" s="66">
        <v>46219</v>
      </c>
      <c r="U78" s="64"/>
      <c r="V78" s="96"/>
      <c r="W78" s="64" t="s">
        <v>397</v>
      </c>
      <c r="X78" s="96"/>
      <c r="Y78" s="64" t="s">
        <v>983</v>
      </c>
      <c r="Z78" s="64"/>
      <c r="AA78" s="64"/>
      <c r="AB78" s="64"/>
    </row>
    <row r="79" spans="1:260" x14ac:dyDescent="0.2">
      <c r="B79" s="59">
        <f t="shared" si="3"/>
        <v>70</v>
      </c>
      <c r="C79" s="73" t="s">
        <v>1025</v>
      </c>
      <c r="D79" s="60"/>
      <c r="E79" s="56"/>
      <c r="F79" s="61" t="s">
        <v>343</v>
      </c>
      <c r="G79" s="61" t="s">
        <v>70</v>
      </c>
      <c r="H79" s="61" t="s">
        <v>381</v>
      </c>
      <c r="I79" s="61" t="s">
        <v>72</v>
      </c>
      <c r="J79" s="62" t="s">
        <v>477</v>
      </c>
      <c r="K79" s="58"/>
      <c r="L79" s="61" t="s">
        <v>295</v>
      </c>
      <c r="M79" s="61"/>
      <c r="N79" s="61"/>
      <c r="O79" s="63" t="s">
        <v>892</v>
      </c>
      <c r="P79" s="64" t="s">
        <v>459</v>
      </c>
      <c r="Q79" s="64"/>
      <c r="R79" s="56"/>
      <c r="S79" s="64" t="s">
        <v>247</v>
      </c>
      <c r="T79" s="66"/>
      <c r="U79" s="64" t="s">
        <v>972</v>
      </c>
      <c r="V79" s="56"/>
      <c r="W79" s="64" t="s">
        <v>409</v>
      </c>
      <c r="X79" s="56"/>
      <c r="Y79" s="64" t="s">
        <v>1091</v>
      </c>
      <c r="Z79" s="64" t="s">
        <v>1121</v>
      </c>
      <c r="AA79" s="64" t="s">
        <v>295</v>
      </c>
      <c r="AB79" s="64" t="s">
        <v>295</v>
      </c>
    </row>
    <row r="80" spans="1:260" s="92" customFormat="1" x14ac:dyDescent="0.2">
      <c r="A80" s="51"/>
      <c r="B80" s="59">
        <f t="shared" si="3"/>
        <v>71</v>
      </c>
      <c r="C80" s="73" t="s">
        <v>1025</v>
      </c>
      <c r="D80" s="60"/>
      <c r="E80" s="96"/>
      <c r="F80" s="61" t="s">
        <v>344</v>
      </c>
      <c r="G80" s="61" t="s">
        <v>73</v>
      </c>
      <c r="H80" s="61" t="s">
        <v>380</v>
      </c>
      <c r="I80" s="61" t="s">
        <v>72</v>
      </c>
      <c r="J80" s="62" t="s">
        <v>478</v>
      </c>
      <c r="K80" s="97"/>
      <c r="L80" s="61" t="s">
        <v>295</v>
      </c>
      <c r="M80" s="61"/>
      <c r="N80" s="61"/>
      <c r="O80" s="63" t="s">
        <v>966</v>
      </c>
      <c r="P80" s="64" t="s">
        <v>905</v>
      </c>
      <c r="Q80" s="64"/>
      <c r="R80" s="96"/>
      <c r="S80" s="64" t="s">
        <v>1094</v>
      </c>
      <c r="T80" s="66"/>
      <c r="U80" s="64"/>
      <c r="V80" s="96"/>
      <c r="W80" s="64" t="s">
        <v>410</v>
      </c>
      <c r="X80" s="96"/>
      <c r="Y80" s="64" t="s">
        <v>983</v>
      </c>
      <c r="Z80" s="64"/>
      <c r="AA80" s="64"/>
      <c r="AB80" s="64"/>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2"/>
      <c r="CI80" s="52"/>
      <c r="CJ80" s="52"/>
      <c r="CK80" s="52"/>
      <c r="CL80" s="52"/>
      <c r="CM80" s="52"/>
      <c r="CN80" s="52"/>
      <c r="CO80" s="52"/>
      <c r="CP80" s="52"/>
      <c r="CQ80" s="52"/>
      <c r="CR80" s="52"/>
      <c r="CS80" s="52"/>
      <c r="CT80" s="52"/>
      <c r="CU80" s="52"/>
      <c r="CV80" s="52"/>
      <c r="CW80" s="52"/>
      <c r="CX80" s="52"/>
      <c r="CY80" s="52"/>
      <c r="CZ80" s="52"/>
      <c r="DA80" s="52"/>
      <c r="DB80" s="52"/>
      <c r="DC80" s="52"/>
      <c r="DD80" s="52"/>
      <c r="DE80" s="52"/>
      <c r="DF80" s="52"/>
      <c r="DG80" s="52"/>
      <c r="DH80" s="52"/>
      <c r="DI80" s="52"/>
      <c r="DJ80" s="52"/>
      <c r="DK80" s="52"/>
      <c r="DL80" s="52"/>
      <c r="DM80" s="52"/>
      <c r="DN80" s="52"/>
      <c r="DO80" s="52"/>
      <c r="DP80" s="52"/>
      <c r="DQ80" s="52"/>
      <c r="DR80" s="52"/>
      <c r="DS80" s="52"/>
      <c r="DT80" s="52"/>
      <c r="DU80" s="52"/>
      <c r="DV80" s="52"/>
      <c r="DW80" s="52"/>
      <c r="DX80" s="52"/>
      <c r="DY80" s="52"/>
      <c r="DZ80" s="52"/>
      <c r="EA80" s="52"/>
      <c r="EB80" s="52"/>
      <c r="EC80" s="52"/>
      <c r="ED80" s="52"/>
      <c r="EE80" s="52"/>
      <c r="EF80" s="52"/>
      <c r="EG80" s="52"/>
      <c r="EH80" s="52"/>
      <c r="EI80" s="52"/>
      <c r="EJ80" s="52"/>
      <c r="EK80" s="52"/>
      <c r="EL80" s="52"/>
      <c r="EM80" s="52"/>
      <c r="EN80" s="52"/>
      <c r="EO80" s="52"/>
      <c r="EP80" s="52"/>
      <c r="EQ80" s="52"/>
      <c r="ER80" s="52"/>
      <c r="ES80" s="52"/>
      <c r="ET80" s="52"/>
      <c r="EU80" s="52"/>
      <c r="EV80" s="52"/>
      <c r="EW80" s="52"/>
      <c r="EX80" s="52"/>
      <c r="EY80" s="52"/>
      <c r="EZ80" s="52"/>
      <c r="FA80" s="52"/>
      <c r="FB80" s="52"/>
      <c r="FC80" s="52"/>
      <c r="FD80" s="52"/>
      <c r="FE80" s="52"/>
      <c r="FF80" s="52"/>
      <c r="FG80" s="52"/>
      <c r="FH80" s="52"/>
      <c r="FI80" s="52"/>
      <c r="FJ80" s="52"/>
      <c r="FK80" s="52"/>
      <c r="FL80" s="52"/>
      <c r="FM80" s="52"/>
      <c r="FN80" s="52"/>
      <c r="FO80" s="52"/>
      <c r="FP80" s="52"/>
      <c r="FQ80" s="52"/>
      <c r="FR80" s="52"/>
      <c r="FS80" s="52"/>
      <c r="FT80" s="52"/>
      <c r="FU80" s="52"/>
      <c r="FV80" s="52"/>
      <c r="FW80" s="52"/>
      <c r="FX80" s="52"/>
      <c r="FY80" s="52"/>
      <c r="FZ80" s="52"/>
      <c r="GA80" s="52"/>
      <c r="GB80" s="52"/>
      <c r="GC80" s="52"/>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2"/>
      <c r="HP80" s="52"/>
      <c r="HQ80" s="52"/>
      <c r="HR80" s="52"/>
      <c r="HS80" s="52"/>
      <c r="HT80" s="52"/>
      <c r="HU80" s="52"/>
      <c r="HV80" s="52"/>
      <c r="HW80" s="52"/>
      <c r="HX80" s="52"/>
      <c r="HY80" s="52"/>
      <c r="HZ80" s="52"/>
      <c r="IA80" s="52"/>
      <c r="IB80" s="52"/>
      <c r="IC80" s="52"/>
      <c r="ID80" s="52"/>
      <c r="IE80" s="52"/>
      <c r="IF80" s="52"/>
      <c r="IG80" s="52"/>
      <c r="IH80" s="52"/>
      <c r="II80" s="52"/>
      <c r="IJ80" s="52"/>
      <c r="IK80" s="52"/>
      <c r="IL80" s="52"/>
      <c r="IM80" s="52"/>
      <c r="IN80" s="52"/>
      <c r="IO80" s="52"/>
      <c r="IP80" s="52"/>
      <c r="IQ80" s="52"/>
      <c r="IR80" s="52"/>
      <c r="IS80" s="52"/>
      <c r="IT80" s="52"/>
      <c r="IU80" s="52"/>
      <c r="IV80" s="52"/>
      <c r="IW80" s="52"/>
      <c r="IX80" s="52"/>
      <c r="IY80" s="52"/>
      <c r="IZ80" s="52"/>
    </row>
    <row r="81" spans="1:260" x14ac:dyDescent="0.2">
      <c r="B81" s="59">
        <f t="shared" si="3"/>
        <v>72</v>
      </c>
      <c r="C81" s="73" t="s">
        <v>1039</v>
      </c>
      <c r="D81" s="59"/>
      <c r="E81" s="56"/>
      <c r="F81" s="61" t="s">
        <v>513</v>
      </c>
      <c r="G81" s="61" t="s">
        <v>70</v>
      </c>
      <c r="H81" s="61" t="s">
        <v>539</v>
      </c>
      <c r="I81" s="61" t="s">
        <v>77</v>
      </c>
      <c r="J81" s="62" t="s">
        <v>565</v>
      </c>
      <c r="K81" s="58"/>
      <c r="L81" s="61" t="s">
        <v>1072</v>
      </c>
      <c r="M81" s="61" t="s">
        <v>295</v>
      </c>
      <c r="N81" s="62" t="s">
        <v>1073</v>
      </c>
      <c r="O81" s="64" t="s">
        <v>879</v>
      </c>
      <c r="P81" s="64" t="s">
        <v>613</v>
      </c>
      <c r="Q81" s="61" t="s">
        <v>295</v>
      </c>
      <c r="R81" s="56"/>
      <c r="S81" s="64" t="s">
        <v>20</v>
      </c>
      <c r="T81" s="66">
        <v>46219</v>
      </c>
      <c r="U81" s="64"/>
      <c r="V81" s="56"/>
      <c r="W81" s="64" t="s">
        <v>636</v>
      </c>
      <c r="X81" s="56"/>
      <c r="Y81" s="64" t="s">
        <v>991</v>
      </c>
      <c r="Z81" s="64"/>
      <c r="AA81" s="64"/>
      <c r="AB81" s="64"/>
    </row>
    <row r="82" spans="1:260" x14ac:dyDescent="0.2">
      <c r="B82" s="59">
        <f t="shared" si="3"/>
        <v>73</v>
      </c>
      <c r="C82" s="73" t="s">
        <v>1039</v>
      </c>
      <c r="D82" s="60"/>
      <c r="E82" s="56"/>
      <c r="F82" s="61" t="s">
        <v>346</v>
      </c>
      <c r="G82" s="61" t="s">
        <v>73</v>
      </c>
      <c r="H82" s="61" t="s">
        <v>79</v>
      </c>
      <c r="I82" s="61" t="s">
        <v>75</v>
      </c>
      <c r="J82" s="62" t="s">
        <v>480</v>
      </c>
      <c r="K82" s="58"/>
      <c r="L82" s="62" t="s">
        <v>1042</v>
      </c>
      <c r="M82" s="61" t="s">
        <v>295</v>
      </c>
      <c r="N82" s="62" t="s">
        <v>1044</v>
      </c>
      <c r="O82" s="63" t="s">
        <v>897</v>
      </c>
      <c r="P82" s="64" t="s">
        <v>461</v>
      </c>
      <c r="Q82" s="64"/>
      <c r="R82" s="56"/>
      <c r="S82" s="64" t="s">
        <v>1001</v>
      </c>
      <c r="T82" s="66"/>
      <c r="U82" s="64" t="s">
        <v>972</v>
      </c>
      <c r="V82" s="56"/>
      <c r="W82" s="64" t="s">
        <v>412</v>
      </c>
      <c r="X82" s="56"/>
      <c r="Y82" s="64" t="s">
        <v>1043</v>
      </c>
      <c r="Z82" s="64" t="s">
        <v>1121</v>
      </c>
      <c r="AA82" s="64" t="s">
        <v>295</v>
      </c>
      <c r="AB82" s="64" t="s">
        <v>295</v>
      </c>
    </row>
    <row r="83" spans="1:260" s="92" customFormat="1" x14ac:dyDescent="0.2">
      <c r="A83" s="51"/>
      <c r="B83" s="59">
        <f t="shared" si="3"/>
        <v>74</v>
      </c>
      <c r="C83" s="73" t="s">
        <v>1039</v>
      </c>
      <c r="D83" s="60"/>
      <c r="E83" s="96"/>
      <c r="F83" s="61" t="s">
        <v>347</v>
      </c>
      <c r="G83" s="61" t="s">
        <v>70</v>
      </c>
      <c r="H83" s="61" t="s">
        <v>382</v>
      </c>
      <c r="I83" s="61" t="s">
        <v>72</v>
      </c>
      <c r="J83" s="61" t="s">
        <v>481</v>
      </c>
      <c r="K83" s="97"/>
      <c r="L83" s="61" t="s">
        <v>295</v>
      </c>
      <c r="M83" s="61" t="s">
        <v>295</v>
      </c>
      <c r="N83" s="61"/>
      <c r="O83" s="63" t="s">
        <v>900</v>
      </c>
      <c r="P83" s="64" t="s">
        <v>462</v>
      </c>
      <c r="Q83" s="64"/>
      <c r="R83" s="96"/>
      <c r="S83" s="64" t="s">
        <v>1094</v>
      </c>
      <c r="T83" s="66"/>
      <c r="U83" s="64"/>
      <c r="V83" s="96"/>
      <c r="W83" s="64" t="s">
        <v>413</v>
      </c>
      <c r="X83" s="96"/>
      <c r="Y83" s="64" t="s">
        <v>983</v>
      </c>
      <c r="Z83" s="64"/>
      <c r="AA83" s="64"/>
      <c r="AB83" s="64"/>
      <c r="BI83" s="52"/>
      <c r="BJ83" s="52"/>
      <c r="BK83" s="52"/>
      <c r="BL83" s="52"/>
      <c r="BM83" s="52"/>
      <c r="BN83" s="52"/>
      <c r="BO83" s="52"/>
      <c r="BP83" s="52"/>
      <c r="BQ83" s="52"/>
      <c r="BR83" s="52"/>
      <c r="BS83" s="52"/>
      <c r="BT83" s="52"/>
      <c r="BU83" s="52"/>
      <c r="BV83" s="52"/>
      <c r="BW83" s="52"/>
      <c r="BX83" s="52"/>
      <c r="BY83" s="52"/>
      <c r="BZ83" s="52"/>
      <c r="CA83" s="52"/>
      <c r="CB83" s="52"/>
      <c r="CC83" s="52"/>
      <c r="CD83" s="52"/>
      <c r="CE83" s="52"/>
      <c r="CF83" s="52"/>
      <c r="CG83" s="52"/>
      <c r="CH83" s="52"/>
      <c r="CI83" s="52"/>
      <c r="CJ83" s="52"/>
      <c r="CK83" s="52"/>
      <c r="CL83" s="52"/>
      <c r="CM83" s="52"/>
      <c r="CN83" s="52"/>
      <c r="CO83" s="52"/>
      <c r="CP83" s="52"/>
      <c r="CQ83" s="52"/>
      <c r="CR83" s="52"/>
      <c r="CS83" s="52"/>
      <c r="CT83" s="52"/>
      <c r="CU83" s="52"/>
      <c r="CV83" s="52"/>
      <c r="CW83" s="52"/>
      <c r="CX83" s="52"/>
      <c r="CY83" s="52"/>
      <c r="CZ83" s="52"/>
      <c r="DA83" s="52"/>
      <c r="DB83" s="52"/>
      <c r="DC83" s="52"/>
      <c r="DD83" s="52"/>
      <c r="DE83" s="52"/>
      <c r="DF83" s="52"/>
      <c r="DG83" s="52"/>
      <c r="DH83" s="52"/>
      <c r="DI83" s="52"/>
      <c r="DJ83" s="52"/>
      <c r="DK83" s="52"/>
      <c r="DL83" s="52"/>
      <c r="DM83" s="52"/>
      <c r="DN83" s="52"/>
      <c r="DO83" s="52"/>
      <c r="DP83" s="52"/>
      <c r="DQ83" s="52"/>
      <c r="DR83" s="52"/>
      <c r="DS83" s="52"/>
      <c r="DT83" s="52"/>
      <c r="DU83" s="52"/>
      <c r="DV83" s="52"/>
      <c r="DW83" s="52"/>
      <c r="DX83" s="52"/>
      <c r="DY83" s="52"/>
      <c r="DZ83" s="52"/>
      <c r="EA83" s="52"/>
      <c r="EB83" s="52"/>
      <c r="EC83" s="52"/>
      <c r="ED83" s="52"/>
      <c r="EE83" s="52"/>
      <c r="EF83" s="52"/>
      <c r="EG83" s="52"/>
      <c r="EH83" s="52"/>
      <c r="EI83" s="52"/>
      <c r="EJ83" s="52"/>
      <c r="EK83" s="52"/>
      <c r="EL83" s="52"/>
      <c r="EM83" s="52"/>
      <c r="EN83" s="52"/>
      <c r="EO83" s="52"/>
      <c r="EP83" s="52"/>
      <c r="EQ83" s="52"/>
      <c r="ER83" s="52"/>
      <c r="ES83" s="52"/>
      <c r="ET83" s="52"/>
      <c r="EU83" s="52"/>
      <c r="EV83" s="52"/>
      <c r="EW83" s="52"/>
      <c r="EX83" s="52"/>
      <c r="EY83" s="52"/>
      <c r="EZ83" s="52"/>
      <c r="FA83" s="52"/>
      <c r="FB83" s="52"/>
      <c r="FC83" s="52"/>
      <c r="FD83" s="52"/>
      <c r="FE83" s="52"/>
      <c r="FF83" s="52"/>
      <c r="FG83" s="52"/>
      <c r="FH83" s="52"/>
      <c r="FI83" s="52"/>
      <c r="FJ83" s="52"/>
      <c r="FK83" s="52"/>
      <c r="FL83" s="52"/>
      <c r="FM83" s="52"/>
      <c r="FN83" s="52"/>
      <c r="FO83" s="52"/>
      <c r="FP83" s="52"/>
      <c r="FQ83" s="52"/>
      <c r="FR83" s="52"/>
      <c r="FS83" s="52"/>
      <c r="FT83" s="52"/>
      <c r="FU83" s="52"/>
      <c r="FV83" s="52"/>
      <c r="FW83" s="52"/>
      <c r="FX83" s="52"/>
      <c r="FY83" s="52"/>
      <c r="FZ83" s="52"/>
      <c r="GA83" s="52"/>
      <c r="GB83" s="52"/>
      <c r="GC83" s="52"/>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2"/>
      <c r="HP83" s="52"/>
      <c r="HQ83" s="52"/>
      <c r="HR83" s="52"/>
      <c r="HS83" s="52"/>
      <c r="HT83" s="52"/>
      <c r="HU83" s="52"/>
      <c r="HV83" s="52"/>
      <c r="HW83" s="52"/>
      <c r="HX83" s="52"/>
      <c r="HY83" s="52"/>
      <c r="HZ83" s="52"/>
      <c r="IA83" s="52"/>
      <c r="IB83" s="52"/>
      <c r="IC83" s="52"/>
      <c r="ID83" s="52"/>
      <c r="IE83" s="52"/>
      <c r="IF83" s="52"/>
      <c r="IG83" s="52"/>
      <c r="IH83" s="52"/>
      <c r="II83" s="52"/>
      <c r="IJ83" s="52"/>
      <c r="IK83" s="52"/>
      <c r="IL83" s="52"/>
      <c r="IM83" s="52"/>
      <c r="IN83" s="52"/>
      <c r="IO83" s="52"/>
      <c r="IP83" s="52"/>
      <c r="IQ83" s="52"/>
      <c r="IR83" s="52"/>
      <c r="IS83" s="52"/>
      <c r="IT83" s="52"/>
      <c r="IU83" s="52"/>
      <c r="IV83" s="52"/>
      <c r="IW83" s="52"/>
      <c r="IX83" s="52"/>
      <c r="IY83" s="52"/>
      <c r="IZ83" s="52"/>
    </row>
    <row r="84" spans="1:260" s="92" customFormat="1" x14ac:dyDescent="0.2">
      <c r="A84" s="51"/>
      <c r="B84" s="59">
        <f t="shared" si="3"/>
        <v>75</v>
      </c>
      <c r="C84" s="73" t="s">
        <v>1039</v>
      </c>
      <c r="D84" s="60"/>
      <c r="E84" s="96"/>
      <c r="F84" s="61" t="s">
        <v>348</v>
      </c>
      <c r="G84" s="61" t="s">
        <v>73</v>
      </c>
      <c r="H84" s="61" t="s">
        <v>383</v>
      </c>
      <c r="I84" s="61" t="s">
        <v>72</v>
      </c>
      <c r="J84" s="61" t="s">
        <v>482</v>
      </c>
      <c r="K84" s="97"/>
      <c r="L84" s="61" t="s">
        <v>295</v>
      </c>
      <c r="M84" s="61" t="s">
        <v>295</v>
      </c>
      <c r="N84" s="61"/>
      <c r="O84" s="63" t="s">
        <v>901</v>
      </c>
      <c r="P84" s="64" t="s">
        <v>463</v>
      </c>
      <c r="Q84" s="64"/>
      <c r="R84" s="96"/>
      <c r="S84" s="64" t="s">
        <v>1094</v>
      </c>
      <c r="T84" s="66"/>
      <c r="U84" s="64"/>
      <c r="V84" s="96"/>
      <c r="W84" s="64" t="s">
        <v>414</v>
      </c>
      <c r="X84" s="96"/>
      <c r="Y84" s="64" t="s">
        <v>983</v>
      </c>
      <c r="Z84" s="64"/>
      <c r="AA84" s="64"/>
      <c r="AB84" s="64"/>
      <c r="BI84" s="52"/>
      <c r="BJ84" s="52"/>
      <c r="BK84" s="52"/>
      <c r="BL84" s="52"/>
      <c r="BM84" s="52"/>
      <c r="BN84" s="52"/>
      <c r="BO84" s="52"/>
      <c r="BP84" s="52"/>
      <c r="BQ84" s="52"/>
      <c r="BR84" s="52"/>
      <c r="BS84" s="52"/>
      <c r="BT84" s="52"/>
      <c r="BU84" s="52"/>
      <c r="BV84" s="52"/>
      <c r="BW84" s="52"/>
      <c r="BX84" s="52"/>
      <c r="BY84" s="52"/>
      <c r="BZ84" s="52"/>
      <c r="CA84" s="52"/>
      <c r="CB84" s="52"/>
      <c r="CC84" s="52"/>
      <c r="CD84" s="52"/>
      <c r="CE84" s="52"/>
      <c r="CF84" s="52"/>
      <c r="CG84" s="52"/>
      <c r="CH84" s="52"/>
      <c r="CI84" s="52"/>
      <c r="CJ84" s="52"/>
      <c r="CK84" s="52"/>
      <c r="CL84" s="52"/>
      <c r="CM84" s="52"/>
      <c r="CN84" s="52"/>
      <c r="CO84" s="52"/>
      <c r="CP84" s="52"/>
      <c r="CQ84" s="52"/>
      <c r="CR84" s="52"/>
      <c r="CS84" s="52"/>
      <c r="CT84" s="52"/>
      <c r="CU84" s="52"/>
      <c r="CV84" s="52"/>
      <c r="CW84" s="52"/>
      <c r="CX84" s="52"/>
      <c r="CY84" s="52"/>
      <c r="CZ84" s="52"/>
      <c r="DA84" s="52"/>
      <c r="DB84" s="52"/>
      <c r="DC84" s="52"/>
      <c r="DD84" s="52"/>
      <c r="DE84" s="52"/>
      <c r="DF84" s="52"/>
      <c r="DG84" s="52"/>
      <c r="DH84" s="52"/>
      <c r="DI84" s="52"/>
      <c r="DJ84" s="52"/>
      <c r="DK84" s="52"/>
      <c r="DL84" s="52"/>
      <c r="DM84" s="52"/>
      <c r="DN84" s="52"/>
      <c r="DO84" s="52"/>
      <c r="DP84" s="52"/>
      <c r="DQ84" s="52"/>
      <c r="DR84" s="52"/>
      <c r="DS84" s="52"/>
      <c r="DT84" s="52"/>
      <c r="DU84" s="52"/>
      <c r="DV84" s="52"/>
      <c r="DW84" s="52"/>
      <c r="DX84" s="52"/>
      <c r="DY84" s="52"/>
      <c r="DZ84" s="52"/>
      <c r="EA84" s="52"/>
      <c r="EB84" s="52"/>
      <c r="EC84" s="52"/>
      <c r="ED84" s="52"/>
      <c r="EE84" s="52"/>
      <c r="EF84" s="52"/>
      <c r="EG84" s="52"/>
      <c r="EH84" s="52"/>
      <c r="EI84" s="52"/>
      <c r="EJ84" s="52"/>
      <c r="EK84" s="52"/>
      <c r="EL84" s="52"/>
      <c r="EM84" s="52"/>
      <c r="EN84" s="52"/>
      <c r="EO84" s="52"/>
      <c r="EP84" s="52"/>
      <c r="EQ84" s="52"/>
      <c r="ER84" s="52"/>
      <c r="ES84" s="52"/>
      <c r="ET84" s="52"/>
      <c r="EU84" s="52"/>
      <c r="EV84" s="52"/>
      <c r="EW84" s="52"/>
      <c r="EX84" s="52"/>
      <c r="EY84" s="52"/>
      <c r="EZ84" s="52"/>
      <c r="FA84" s="52"/>
      <c r="FB84" s="52"/>
      <c r="FC84" s="52"/>
      <c r="FD84" s="52"/>
      <c r="FE84" s="52"/>
      <c r="FF84" s="52"/>
      <c r="FG84" s="52"/>
      <c r="FH84" s="52"/>
      <c r="FI84" s="52"/>
      <c r="FJ84" s="52"/>
      <c r="FK84" s="52"/>
      <c r="FL84" s="52"/>
      <c r="FM84" s="52"/>
      <c r="FN84" s="52"/>
      <c r="FO84" s="52"/>
      <c r="FP84" s="52"/>
      <c r="FQ84" s="52"/>
      <c r="FR84" s="52"/>
      <c r="FS84" s="52"/>
      <c r="FT84" s="52"/>
      <c r="FU84" s="52"/>
      <c r="FV84" s="52"/>
      <c r="FW84" s="52"/>
      <c r="FX84" s="52"/>
      <c r="FY84" s="52"/>
      <c r="FZ84" s="52"/>
      <c r="GA84" s="52"/>
      <c r="GB84" s="52"/>
      <c r="GC84" s="52"/>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2"/>
      <c r="HP84" s="52"/>
      <c r="HQ84" s="52"/>
      <c r="HR84" s="52"/>
      <c r="HS84" s="52"/>
      <c r="HT84" s="52"/>
      <c r="HU84" s="52"/>
      <c r="HV84" s="52"/>
      <c r="HW84" s="52"/>
      <c r="HX84" s="52"/>
      <c r="HY84" s="52"/>
      <c r="HZ84" s="52"/>
      <c r="IA84" s="52"/>
      <c r="IB84" s="52"/>
      <c r="IC84" s="52"/>
      <c r="ID84" s="52"/>
      <c r="IE84" s="52"/>
      <c r="IF84" s="52"/>
      <c r="IG84" s="52"/>
      <c r="IH84" s="52"/>
      <c r="II84" s="52"/>
      <c r="IJ84" s="52"/>
      <c r="IK84" s="52"/>
      <c r="IL84" s="52"/>
      <c r="IM84" s="52"/>
      <c r="IN84" s="52"/>
      <c r="IO84" s="52"/>
      <c r="IP84" s="52"/>
      <c r="IQ84" s="52"/>
      <c r="IR84" s="52"/>
      <c r="IS84" s="52"/>
      <c r="IT84" s="52"/>
      <c r="IU84" s="52"/>
      <c r="IV84" s="52"/>
      <c r="IW84" s="52"/>
      <c r="IX84" s="52"/>
      <c r="IY84" s="52"/>
      <c r="IZ84" s="52"/>
    </row>
    <row r="85" spans="1:260" x14ac:dyDescent="0.2">
      <c r="B85" s="59">
        <f t="shared" si="3"/>
        <v>76</v>
      </c>
      <c r="C85" s="73" t="s">
        <v>1025</v>
      </c>
      <c r="D85" s="60"/>
      <c r="E85" s="56"/>
      <c r="F85" s="61" t="s">
        <v>257</v>
      </c>
      <c r="G85" s="61" t="s">
        <v>73</v>
      </c>
      <c r="H85" s="61" t="s">
        <v>271</v>
      </c>
      <c r="I85" s="61" t="s">
        <v>72</v>
      </c>
      <c r="J85" s="62" t="s">
        <v>285</v>
      </c>
      <c r="K85" s="58"/>
      <c r="L85" s="61" t="s">
        <v>1035</v>
      </c>
      <c r="M85" s="61"/>
      <c r="N85" s="62" t="s">
        <v>1036</v>
      </c>
      <c r="O85" s="63" t="s">
        <v>798</v>
      </c>
      <c r="P85" s="64" t="s">
        <v>808</v>
      </c>
      <c r="Q85" s="64"/>
      <c r="R85" s="56"/>
      <c r="S85" s="64" t="s">
        <v>20</v>
      </c>
      <c r="T85" s="66">
        <v>46219</v>
      </c>
      <c r="U85" s="64"/>
      <c r="V85" s="56"/>
      <c r="W85" s="64" t="s">
        <v>320</v>
      </c>
      <c r="X85" s="56"/>
      <c r="Y85" s="64" t="s">
        <v>1037</v>
      </c>
      <c r="Z85" s="64"/>
      <c r="AA85" s="64"/>
      <c r="AB85" s="64"/>
    </row>
    <row r="86" spans="1:260" s="92" customFormat="1" x14ac:dyDescent="0.2">
      <c r="A86" s="51"/>
      <c r="B86" s="59">
        <f t="shared" si="3"/>
        <v>77</v>
      </c>
      <c r="C86" s="73" t="s">
        <v>1039</v>
      </c>
      <c r="D86" s="60"/>
      <c r="E86" s="96"/>
      <c r="F86" s="61" t="s">
        <v>350</v>
      </c>
      <c r="G86" s="61" t="s">
        <v>87</v>
      </c>
      <c r="H86" s="61" t="s">
        <v>279</v>
      </c>
      <c r="I86" s="61" t="s">
        <v>72</v>
      </c>
      <c r="J86" s="61" t="s">
        <v>484</v>
      </c>
      <c r="K86" s="97"/>
      <c r="L86" s="61" t="s">
        <v>295</v>
      </c>
      <c r="M86" s="61" t="s">
        <v>295</v>
      </c>
      <c r="N86" s="61"/>
      <c r="O86" s="64" t="s">
        <v>708</v>
      </c>
      <c r="P86" s="64" t="s">
        <v>707</v>
      </c>
      <c r="Q86" s="64"/>
      <c r="R86" s="96"/>
      <c r="S86" s="64" t="s">
        <v>1094</v>
      </c>
      <c r="T86" s="66"/>
      <c r="U86" s="64"/>
      <c r="V86" s="96"/>
      <c r="W86" s="64" t="s">
        <v>416</v>
      </c>
      <c r="X86" s="96"/>
      <c r="Y86" s="64" t="s">
        <v>983</v>
      </c>
      <c r="Z86" s="64"/>
      <c r="AA86" s="64"/>
      <c r="AB86" s="64"/>
      <c r="BI86" s="52"/>
      <c r="BJ86" s="52"/>
      <c r="BK86" s="52"/>
      <c r="BL86" s="52"/>
      <c r="BM86" s="52"/>
      <c r="BN86" s="52"/>
      <c r="BO86" s="52"/>
      <c r="BP86" s="52"/>
      <c r="BQ86" s="52"/>
      <c r="BR86" s="52"/>
      <c r="BS86" s="52"/>
      <c r="BT86" s="52"/>
      <c r="BU86" s="52"/>
      <c r="BV86" s="52"/>
      <c r="BW86" s="52"/>
      <c r="BX86" s="52"/>
      <c r="BY86" s="52"/>
      <c r="BZ86" s="52"/>
      <c r="CA86" s="52"/>
      <c r="CB86" s="52"/>
      <c r="CC86" s="52"/>
      <c r="CD86" s="52"/>
      <c r="CE86" s="52"/>
      <c r="CF86" s="52"/>
      <c r="CG86" s="52"/>
      <c r="CH86" s="52"/>
      <c r="CI86" s="52"/>
      <c r="CJ86" s="52"/>
      <c r="CK86" s="52"/>
      <c r="CL86" s="52"/>
      <c r="CM86" s="52"/>
      <c r="CN86" s="52"/>
      <c r="CO86" s="52"/>
      <c r="CP86" s="52"/>
      <c r="CQ86" s="52"/>
      <c r="CR86" s="52"/>
      <c r="CS86" s="52"/>
      <c r="CT86" s="52"/>
      <c r="CU86" s="52"/>
      <c r="CV86" s="52"/>
      <c r="CW86" s="52"/>
      <c r="CX86" s="52"/>
      <c r="CY86" s="52"/>
      <c r="CZ86" s="52"/>
      <c r="DA86" s="52"/>
      <c r="DB86" s="52"/>
      <c r="DC86" s="52"/>
      <c r="DD86" s="52"/>
      <c r="DE86" s="52"/>
      <c r="DF86" s="52"/>
      <c r="DG86" s="52"/>
      <c r="DH86" s="52"/>
      <c r="DI86" s="52"/>
      <c r="DJ86" s="52"/>
      <c r="DK86" s="52"/>
      <c r="DL86" s="52"/>
      <c r="DM86" s="52"/>
      <c r="DN86" s="52"/>
      <c r="DO86" s="52"/>
      <c r="DP86" s="52"/>
      <c r="DQ86" s="52"/>
      <c r="DR86" s="52"/>
      <c r="DS86" s="52"/>
      <c r="DT86" s="52"/>
      <c r="DU86" s="52"/>
      <c r="DV86" s="52"/>
      <c r="DW86" s="52"/>
      <c r="DX86" s="52"/>
      <c r="DY86" s="52"/>
      <c r="DZ86" s="52"/>
      <c r="EA86" s="52"/>
      <c r="EB86" s="52"/>
      <c r="EC86" s="52"/>
      <c r="ED86" s="52"/>
      <c r="EE86" s="52"/>
      <c r="EF86" s="52"/>
      <c r="EG86" s="52"/>
      <c r="EH86" s="52"/>
      <c r="EI86" s="52"/>
      <c r="EJ86" s="52"/>
      <c r="EK86" s="52"/>
      <c r="EL86" s="52"/>
      <c r="EM86" s="52"/>
      <c r="EN86" s="52"/>
      <c r="EO86" s="52"/>
      <c r="EP86" s="52"/>
      <c r="EQ86" s="52"/>
      <c r="ER86" s="52"/>
      <c r="ES86" s="52"/>
      <c r="ET86" s="52"/>
      <c r="EU86" s="52"/>
      <c r="EV86" s="52"/>
      <c r="EW86" s="52"/>
      <c r="EX86" s="52"/>
      <c r="EY86" s="52"/>
      <c r="EZ86" s="52"/>
      <c r="FA86" s="52"/>
      <c r="FB86" s="52"/>
      <c r="FC86" s="52"/>
      <c r="FD86" s="52"/>
      <c r="FE86" s="52"/>
      <c r="FF86" s="52"/>
      <c r="FG86" s="52"/>
      <c r="FH86" s="52"/>
      <c r="FI86" s="52"/>
      <c r="FJ86" s="52"/>
      <c r="FK86" s="52"/>
      <c r="FL86" s="52"/>
      <c r="FM86" s="52"/>
      <c r="FN86" s="52"/>
      <c r="FO86" s="52"/>
      <c r="FP86" s="52"/>
      <c r="FQ86" s="52"/>
      <c r="FR86" s="52"/>
      <c r="FS86" s="52"/>
      <c r="FT86" s="52"/>
      <c r="FU86" s="52"/>
      <c r="FV86" s="52"/>
      <c r="FW86" s="52"/>
      <c r="FX86" s="52"/>
      <c r="FY86" s="52"/>
      <c r="FZ86" s="52"/>
      <c r="GA86" s="52"/>
      <c r="GB86" s="52"/>
      <c r="GC86" s="52"/>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2"/>
      <c r="HP86" s="52"/>
      <c r="HQ86" s="52"/>
      <c r="HR86" s="52"/>
      <c r="HS86" s="52"/>
      <c r="HT86" s="52"/>
      <c r="HU86" s="52"/>
      <c r="HV86" s="52"/>
      <c r="HW86" s="52"/>
      <c r="HX86" s="52"/>
      <c r="HY86" s="52"/>
      <c r="HZ86" s="52"/>
      <c r="IA86" s="52"/>
      <c r="IB86" s="52"/>
      <c r="IC86" s="52"/>
      <c r="ID86" s="52"/>
      <c r="IE86" s="52"/>
      <c r="IF86" s="52"/>
      <c r="IG86" s="52"/>
      <c r="IH86" s="52"/>
      <c r="II86" s="52"/>
      <c r="IJ86" s="52"/>
      <c r="IK86" s="52"/>
      <c r="IL86" s="52"/>
      <c r="IM86" s="52"/>
      <c r="IN86" s="52"/>
      <c r="IO86" s="52"/>
      <c r="IP86" s="52"/>
      <c r="IQ86" s="52"/>
      <c r="IR86" s="52"/>
      <c r="IS86" s="52"/>
      <c r="IT86" s="52"/>
      <c r="IU86" s="52"/>
      <c r="IV86" s="52"/>
      <c r="IW86" s="52"/>
      <c r="IX86" s="52"/>
      <c r="IY86" s="52"/>
      <c r="IZ86" s="52"/>
    </row>
    <row r="87" spans="1:260" s="92" customFormat="1" x14ac:dyDescent="0.2">
      <c r="A87" s="51"/>
      <c r="B87" s="59">
        <f t="shared" si="3"/>
        <v>78</v>
      </c>
      <c r="C87" s="73" t="s">
        <v>1039</v>
      </c>
      <c r="D87" s="60"/>
      <c r="E87" s="96"/>
      <c r="F87" s="61" t="s">
        <v>351</v>
      </c>
      <c r="G87" s="61" t="s">
        <v>70</v>
      </c>
      <c r="H87" s="61" t="s">
        <v>384</v>
      </c>
      <c r="I87" s="61" t="s">
        <v>72</v>
      </c>
      <c r="J87" s="61" t="s">
        <v>485</v>
      </c>
      <c r="K87" s="97"/>
      <c r="L87" s="61" t="s">
        <v>295</v>
      </c>
      <c r="M87" s="61" t="s">
        <v>295</v>
      </c>
      <c r="N87" s="61"/>
      <c r="O87" s="64" t="s">
        <v>710</v>
      </c>
      <c r="P87" s="64" t="s">
        <v>709</v>
      </c>
      <c r="Q87" s="64"/>
      <c r="R87" s="96"/>
      <c r="S87" s="64" t="s">
        <v>1094</v>
      </c>
      <c r="T87" s="66"/>
      <c r="U87" s="64"/>
      <c r="V87" s="96"/>
      <c r="W87" s="64" t="s">
        <v>417</v>
      </c>
      <c r="X87" s="96"/>
      <c r="Y87" s="64" t="s">
        <v>983</v>
      </c>
      <c r="Z87" s="64"/>
      <c r="AA87" s="64"/>
      <c r="AB87" s="64"/>
      <c r="BI87" s="52"/>
      <c r="BJ87" s="52"/>
      <c r="BK87" s="52"/>
      <c r="BL87" s="52"/>
      <c r="BM87" s="52"/>
      <c r="BN87" s="52"/>
      <c r="BO87" s="52"/>
      <c r="BP87" s="52"/>
      <c r="BQ87" s="52"/>
      <c r="BR87" s="52"/>
      <c r="BS87" s="52"/>
      <c r="BT87" s="52"/>
      <c r="BU87" s="52"/>
      <c r="BV87" s="52"/>
      <c r="BW87" s="52"/>
      <c r="BX87" s="52"/>
      <c r="BY87" s="52"/>
      <c r="BZ87" s="52"/>
      <c r="CA87" s="52"/>
      <c r="CB87" s="52"/>
      <c r="CC87" s="52"/>
      <c r="CD87" s="52"/>
      <c r="CE87" s="52"/>
      <c r="CF87" s="52"/>
      <c r="CG87" s="52"/>
      <c r="CH87" s="52"/>
      <c r="CI87" s="52"/>
      <c r="CJ87" s="52"/>
      <c r="CK87" s="52"/>
      <c r="CL87" s="52"/>
      <c r="CM87" s="52"/>
      <c r="CN87" s="52"/>
      <c r="CO87" s="52"/>
      <c r="CP87" s="52"/>
      <c r="CQ87" s="52"/>
      <c r="CR87" s="52"/>
      <c r="CS87" s="52"/>
      <c r="CT87" s="52"/>
      <c r="CU87" s="52"/>
      <c r="CV87" s="52"/>
      <c r="CW87" s="52"/>
      <c r="CX87" s="52"/>
      <c r="CY87" s="52"/>
      <c r="CZ87" s="52"/>
      <c r="DA87" s="52"/>
      <c r="DB87" s="52"/>
      <c r="DC87" s="52"/>
      <c r="DD87" s="52"/>
      <c r="DE87" s="52"/>
      <c r="DF87" s="52"/>
      <c r="DG87" s="52"/>
      <c r="DH87" s="52"/>
      <c r="DI87" s="52"/>
      <c r="DJ87" s="52"/>
      <c r="DK87" s="52"/>
      <c r="DL87" s="52"/>
      <c r="DM87" s="52"/>
      <c r="DN87" s="52"/>
      <c r="DO87" s="52"/>
      <c r="DP87" s="52"/>
      <c r="DQ87" s="52"/>
      <c r="DR87" s="52"/>
      <c r="DS87" s="52"/>
      <c r="DT87" s="52"/>
      <c r="DU87" s="52"/>
      <c r="DV87" s="52"/>
      <c r="DW87" s="52"/>
      <c r="DX87" s="52"/>
      <c r="DY87" s="52"/>
      <c r="DZ87" s="52"/>
      <c r="EA87" s="52"/>
      <c r="EB87" s="52"/>
      <c r="EC87" s="52"/>
      <c r="ED87" s="52"/>
      <c r="EE87" s="52"/>
      <c r="EF87" s="52"/>
      <c r="EG87" s="52"/>
      <c r="EH87" s="52"/>
      <c r="EI87" s="52"/>
      <c r="EJ87" s="52"/>
      <c r="EK87" s="52"/>
      <c r="EL87" s="52"/>
      <c r="EM87" s="52"/>
      <c r="EN87" s="52"/>
      <c r="EO87" s="52"/>
      <c r="EP87" s="52"/>
      <c r="EQ87" s="52"/>
      <c r="ER87" s="52"/>
      <c r="ES87" s="52"/>
      <c r="ET87" s="52"/>
      <c r="EU87" s="52"/>
      <c r="EV87" s="52"/>
      <c r="EW87" s="52"/>
      <c r="EX87" s="52"/>
      <c r="EY87" s="52"/>
      <c r="EZ87" s="52"/>
      <c r="FA87" s="52"/>
      <c r="FB87" s="52"/>
      <c r="FC87" s="52"/>
      <c r="FD87" s="52"/>
      <c r="FE87" s="52"/>
      <c r="FF87" s="52"/>
      <c r="FG87" s="52"/>
      <c r="FH87" s="52"/>
      <c r="FI87" s="52"/>
      <c r="FJ87" s="52"/>
      <c r="FK87" s="52"/>
      <c r="FL87" s="52"/>
      <c r="FM87" s="52"/>
      <c r="FN87" s="52"/>
      <c r="FO87" s="52"/>
      <c r="FP87" s="52"/>
      <c r="FQ87" s="52"/>
      <c r="FR87" s="52"/>
      <c r="FS87" s="52"/>
      <c r="FT87" s="52"/>
      <c r="FU87" s="52"/>
      <c r="FV87" s="52"/>
      <c r="FW87" s="52"/>
      <c r="FX87" s="52"/>
      <c r="FY87" s="52"/>
      <c r="FZ87" s="52"/>
      <c r="GA87" s="52"/>
      <c r="GB87" s="52"/>
      <c r="GC87" s="52"/>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2"/>
      <c r="HP87" s="52"/>
      <c r="HQ87" s="52"/>
      <c r="HR87" s="52"/>
      <c r="HS87" s="52"/>
      <c r="HT87" s="52"/>
      <c r="HU87" s="52"/>
      <c r="HV87" s="52"/>
      <c r="HW87" s="52"/>
      <c r="HX87" s="52"/>
      <c r="HY87" s="52"/>
      <c r="HZ87" s="52"/>
      <c r="IA87" s="52"/>
      <c r="IB87" s="52"/>
      <c r="IC87" s="52"/>
      <c r="ID87" s="52"/>
      <c r="IE87" s="52"/>
      <c r="IF87" s="52"/>
      <c r="IG87" s="52"/>
      <c r="IH87" s="52"/>
      <c r="II87" s="52"/>
      <c r="IJ87" s="52"/>
      <c r="IK87" s="52"/>
      <c r="IL87" s="52"/>
      <c r="IM87" s="52"/>
      <c r="IN87" s="52"/>
      <c r="IO87" s="52"/>
      <c r="IP87" s="52"/>
      <c r="IQ87" s="52"/>
      <c r="IR87" s="52"/>
      <c r="IS87" s="52"/>
      <c r="IT87" s="52"/>
      <c r="IU87" s="52"/>
      <c r="IV87" s="52"/>
      <c r="IW87" s="52"/>
      <c r="IX87" s="52"/>
      <c r="IY87" s="52"/>
      <c r="IZ87" s="52"/>
    </row>
    <row r="88" spans="1:260" x14ac:dyDescent="0.2">
      <c r="B88" s="59">
        <f t="shared" si="3"/>
        <v>79</v>
      </c>
      <c r="C88" s="73"/>
      <c r="D88" s="60"/>
      <c r="E88" s="56"/>
      <c r="F88" s="61" t="s">
        <v>715</v>
      </c>
      <c r="G88" s="61" t="s">
        <v>70</v>
      </c>
      <c r="H88" s="61" t="s">
        <v>385</v>
      </c>
      <c r="I88" s="61" t="s">
        <v>72</v>
      </c>
      <c r="J88" s="62" t="s">
        <v>713</v>
      </c>
      <c r="K88" s="58"/>
      <c r="L88" s="61" t="s">
        <v>711</v>
      </c>
      <c r="M88" s="61" t="s">
        <v>139</v>
      </c>
      <c r="N88" s="62" t="s">
        <v>712</v>
      </c>
      <c r="O88" s="63"/>
      <c r="P88" s="64"/>
      <c r="Q88" s="64"/>
      <c r="R88" s="56"/>
      <c r="S88" s="64" t="s">
        <v>20</v>
      </c>
      <c r="T88" s="66">
        <v>46211</v>
      </c>
      <c r="U88" s="64" t="s">
        <v>717</v>
      </c>
      <c r="V88" s="56"/>
      <c r="W88" s="64" t="s">
        <v>418</v>
      </c>
      <c r="X88" s="56"/>
      <c r="Y88" s="64" t="s">
        <v>991</v>
      </c>
      <c r="Z88" s="64"/>
      <c r="AA88" s="64"/>
      <c r="AB88" s="64"/>
    </row>
    <row r="89" spans="1:260" s="92" customFormat="1" x14ac:dyDescent="0.2">
      <c r="A89" s="51"/>
      <c r="B89" s="59">
        <f t="shared" si="3"/>
        <v>80</v>
      </c>
      <c r="C89" s="73" t="s">
        <v>1039</v>
      </c>
      <c r="D89" s="60"/>
      <c r="E89" s="96"/>
      <c r="F89" s="61" t="s">
        <v>352</v>
      </c>
      <c r="G89" s="61" t="s">
        <v>73</v>
      </c>
      <c r="H89" s="61" t="s">
        <v>382</v>
      </c>
      <c r="I89" s="61" t="s">
        <v>75</v>
      </c>
      <c r="J89" s="62" t="s">
        <v>486</v>
      </c>
      <c r="K89" s="97"/>
      <c r="L89" s="61" t="s">
        <v>295</v>
      </c>
      <c r="M89" s="61" t="s">
        <v>295</v>
      </c>
      <c r="N89" s="61"/>
      <c r="O89" s="63" t="s">
        <v>906</v>
      </c>
      <c r="P89" s="64" t="s">
        <v>902</v>
      </c>
      <c r="Q89" s="64"/>
      <c r="R89" s="96"/>
      <c r="S89" s="64" t="s">
        <v>1094</v>
      </c>
      <c r="T89" s="66"/>
      <c r="U89" s="64"/>
      <c r="V89" s="96"/>
      <c r="W89" s="64" t="s">
        <v>419</v>
      </c>
      <c r="X89" s="96"/>
      <c r="Y89" s="64" t="s">
        <v>983</v>
      </c>
      <c r="Z89" s="64"/>
      <c r="AA89" s="64"/>
      <c r="AB89" s="64"/>
      <c r="BI89" s="52"/>
      <c r="BJ89" s="52"/>
      <c r="BK89" s="52"/>
      <c r="BL89" s="52"/>
      <c r="BM89" s="52"/>
      <c r="BN89" s="52"/>
      <c r="BO89" s="52"/>
      <c r="BP89" s="52"/>
      <c r="BQ89" s="52"/>
      <c r="BR89" s="52"/>
      <c r="BS89" s="52"/>
      <c r="BT89" s="52"/>
      <c r="BU89" s="52"/>
      <c r="BV89" s="52"/>
      <c r="BW89" s="52"/>
      <c r="BX89" s="52"/>
      <c r="BY89" s="52"/>
      <c r="BZ89" s="52"/>
      <c r="CA89" s="52"/>
      <c r="CB89" s="52"/>
      <c r="CC89" s="52"/>
      <c r="CD89" s="52"/>
      <c r="CE89" s="52"/>
      <c r="CF89" s="52"/>
      <c r="CG89" s="52"/>
      <c r="CH89" s="52"/>
      <c r="CI89" s="52"/>
      <c r="CJ89" s="52"/>
      <c r="CK89" s="52"/>
      <c r="CL89" s="52"/>
      <c r="CM89" s="52"/>
      <c r="CN89" s="52"/>
      <c r="CO89" s="52"/>
      <c r="CP89" s="52"/>
      <c r="CQ89" s="52"/>
      <c r="CR89" s="52"/>
      <c r="CS89" s="52"/>
      <c r="CT89" s="52"/>
      <c r="CU89" s="52"/>
      <c r="CV89" s="52"/>
      <c r="CW89" s="52"/>
      <c r="CX89" s="52"/>
      <c r="CY89" s="52"/>
      <c r="CZ89" s="52"/>
      <c r="DA89" s="52"/>
      <c r="DB89" s="52"/>
      <c r="DC89" s="52"/>
      <c r="DD89" s="52"/>
      <c r="DE89" s="52"/>
      <c r="DF89" s="52"/>
      <c r="DG89" s="52"/>
      <c r="DH89" s="52"/>
      <c r="DI89" s="52"/>
      <c r="DJ89" s="52"/>
      <c r="DK89" s="52"/>
      <c r="DL89" s="52"/>
      <c r="DM89" s="52"/>
      <c r="DN89" s="52"/>
      <c r="DO89" s="52"/>
      <c r="DP89" s="52"/>
      <c r="DQ89" s="52"/>
      <c r="DR89" s="52"/>
      <c r="DS89" s="52"/>
      <c r="DT89" s="52"/>
      <c r="DU89" s="52"/>
      <c r="DV89" s="52"/>
      <c r="DW89" s="52"/>
      <c r="DX89" s="52"/>
      <c r="DY89" s="52"/>
      <c r="DZ89" s="52"/>
      <c r="EA89" s="52"/>
      <c r="EB89" s="52"/>
      <c r="EC89" s="52"/>
      <c r="ED89" s="52"/>
      <c r="EE89" s="52"/>
      <c r="EF89" s="52"/>
      <c r="EG89" s="52"/>
      <c r="EH89" s="52"/>
      <c r="EI89" s="52"/>
      <c r="EJ89" s="52"/>
      <c r="EK89" s="52"/>
      <c r="EL89" s="52"/>
      <c r="EM89" s="52"/>
      <c r="EN89" s="52"/>
      <c r="EO89" s="52"/>
      <c r="EP89" s="52"/>
      <c r="EQ89" s="52"/>
      <c r="ER89" s="52"/>
      <c r="ES89" s="52"/>
      <c r="ET89" s="52"/>
      <c r="EU89" s="52"/>
      <c r="EV89" s="52"/>
      <c r="EW89" s="52"/>
      <c r="EX89" s="52"/>
      <c r="EY89" s="52"/>
      <c r="EZ89" s="52"/>
      <c r="FA89" s="52"/>
      <c r="FB89" s="52"/>
      <c r="FC89" s="52"/>
      <c r="FD89" s="52"/>
      <c r="FE89" s="52"/>
      <c r="FF89" s="52"/>
      <c r="FG89" s="52"/>
      <c r="FH89" s="52"/>
      <c r="FI89" s="52"/>
      <c r="FJ89" s="52"/>
      <c r="FK89" s="52"/>
      <c r="FL89" s="52"/>
      <c r="FM89" s="52"/>
      <c r="FN89" s="52"/>
      <c r="FO89" s="52"/>
      <c r="FP89" s="52"/>
      <c r="FQ89" s="52"/>
      <c r="FR89" s="52"/>
      <c r="FS89" s="52"/>
      <c r="FT89" s="52"/>
      <c r="FU89" s="52"/>
      <c r="FV89" s="52"/>
      <c r="FW89" s="52"/>
      <c r="FX89" s="52"/>
      <c r="FY89" s="52"/>
      <c r="FZ89" s="52"/>
      <c r="GA89" s="52"/>
      <c r="GB89" s="52"/>
      <c r="GC89" s="52"/>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2"/>
      <c r="HP89" s="52"/>
      <c r="HQ89" s="52"/>
      <c r="HR89" s="52"/>
      <c r="HS89" s="52"/>
      <c r="HT89" s="52"/>
      <c r="HU89" s="52"/>
      <c r="HV89" s="52"/>
      <c r="HW89" s="52"/>
      <c r="HX89" s="52"/>
      <c r="HY89" s="52"/>
      <c r="HZ89" s="52"/>
      <c r="IA89" s="52"/>
      <c r="IB89" s="52"/>
      <c r="IC89" s="52"/>
      <c r="ID89" s="52"/>
      <c r="IE89" s="52"/>
      <c r="IF89" s="52"/>
      <c r="IG89" s="52"/>
      <c r="IH89" s="52"/>
      <c r="II89" s="52"/>
      <c r="IJ89" s="52"/>
      <c r="IK89" s="52"/>
      <c r="IL89" s="52"/>
      <c r="IM89" s="52"/>
      <c r="IN89" s="52"/>
      <c r="IO89" s="52"/>
      <c r="IP89" s="52"/>
      <c r="IQ89" s="52"/>
      <c r="IR89" s="52"/>
      <c r="IS89" s="52"/>
      <c r="IT89" s="52"/>
      <c r="IU89" s="52"/>
      <c r="IV89" s="52"/>
      <c r="IW89" s="52"/>
      <c r="IX89" s="52"/>
      <c r="IY89" s="52"/>
      <c r="IZ89" s="52"/>
    </row>
    <row r="90" spans="1:260" x14ac:dyDescent="0.2">
      <c r="B90" s="59">
        <f t="shared" si="3"/>
        <v>81</v>
      </c>
      <c r="C90" s="73" t="s">
        <v>1039</v>
      </c>
      <c r="D90" s="60"/>
      <c r="E90" s="56"/>
      <c r="F90" s="61" t="s">
        <v>357</v>
      </c>
      <c r="G90" s="61" t="s">
        <v>73</v>
      </c>
      <c r="H90" s="61" t="s">
        <v>99</v>
      </c>
      <c r="I90" s="61" t="s">
        <v>75</v>
      </c>
      <c r="J90" s="62" t="s">
        <v>491</v>
      </c>
      <c r="K90" s="58"/>
      <c r="L90" s="61" t="s">
        <v>1054</v>
      </c>
      <c r="M90" s="61" t="s">
        <v>1050</v>
      </c>
      <c r="N90" s="62" t="s">
        <v>1055</v>
      </c>
      <c r="O90" s="63" t="s">
        <v>918</v>
      </c>
      <c r="P90" s="64" t="s">
        <v>919</v>
      </c>
      <c r="Q90" s="64"/>
      <c r="R90" s="56"/>
      <c r="S90" s="64" t="s">
        <v>20</v>
      </c>
      <c r="T90" s="66">
        <v>46219</v>
      </c>
      <c r="U90" s="64"/>
      <c r="V90" s="56"/>
      <c r="W90" s="64" t="s">
        <v>424</v>
      </c>
      <c r="X90" s="56"/>
      <c r="Y90" s="64" t="s">
        <v>991</v>
      </c>
      <c r="Z90" s="64"/>
      <c r="AA90" s="64"/>
      <c r="AB90" s="64"/>
    </row>
    <row r="91" spans="1:260" s="92" customFormat="1" x14ac:dyDescent="0.2">
      <c r="A91" s="51"/>
      <c r="B91" s="59">
        <f t="shared" si="3"/>
        <v>82</v>
      </c>
      <c r="C91" s="73" t="s">
        <v>1039</v>
      </c>
      <c r="D91" s="60"/>
      <c r="E91" s="96"/>
      <c r="F91" s="61" t="s">
        <v>354</v>
      </c>
      <c r="G91" s="61" t="s">
        <v>73</v>
      </c>
      <c r="H91" s="61" t="s">
        <v>387</v>
      </c>
      <c r="I91" s="61" t="s">
        <v>72</v>
      </c>
      <c r="J91" s="62" t="s">
        <v>488</v>
      </c>
      <c r="K91" s="97"/>
      <c r="L91" s="61" t="s">
        <v>295</v>
      </c>
      <c r="M91" s="61" t="s">
        <v>295</v>
      </c>
      <c r="N91" s="61"/>
      <c r="O91" s="63" t="s">
        <v>910</v>
      </c>
      <c r="P91" s="64" t="s">
        <v>909</v>
      </c>
      <c r="Q91" s="64"/>
      <c r="R91" s="96"/>
      <c r="S91" s="64" t="s">
        <v>1094</v>
      </c>
      <c r="T91" s="66"/>
      <c r="U91" s="64"/>
      <c r="V91" s="96"/>
      <c r="W91" s="64" t="s">
        <v>421</v>
      </c>
      <c r="X91" s="96"/>
      <c r="Y91" s="64" t="s">
        <v>983</v>
      </c>
      <c r="Z91" s="64"/>
      <c r="AA91" s="64"/>
      <c r="AB91" s="64"/>
      <c r="BI91" s="52"/>
      <c r="BJ91" s="52"/>
      <c r="BK91" s="52"/>
      <c r="BL91" s="52"/>
      <c r="BM91" s="52"/>
      <c r="BN91" s="52"/>
      <c r="BO91" s="52"/>
      <c r="BP91" s="52"/>
      <c r="BQ91" s="52"/>
      <c r="BR91" s="52"/>
      <c r="BS91" s="52"/>
      <c r="BT91" s="52"/>
      <c r="BU91" s="52"/>
      <c r="BV91" s="52"/>
      <c r="BW91" s="52"/>
      <c r="BX91" s="52"/>
      <c r="BY91" s="52"/>
      <c r="BZ91" s="52"/>
      <c r="CA91" s="52"/>
      <c r="CB91" s="52"/>
      <c r="CC91" s="52"/>
      <c r="CD91" s="52"/>
      <c r="CE91" s="52"/>
      <c r="CF91" s="52"/>
      <c r="CG91" s="52"/>
      <c r="CH91" s="52"/>
      <c r="CI91" s="52"/>
      <c r="CJ91" s="52"/>
      <c r="CK91" s="52"/>
      <c r="CL91" s="52"/>
      <c r="CM91" s="52"/>
      <c r="CN91" s="52"/>
      <c r="CO91" s="52"/>
      <c r="CP91" s="52"/>
      <c r="CQ91" s="52"/>
      <c r="CR91" s="52"/>
      <c r="CS91" s="52"/>
      <c r="CT91" s="52"/>
      <c r="CU91" s="52"/>
      <c r="CV91" s="52"/>
      <c r="CW91" s="52"/>
      <c r="CX91" s="52"/>
      <c r="CY91" s="52"/>
      <c r="CZ91" s="52"/>
      <c r="DA91" s="52"/>
      <c r="DB91" s="52"/>
      <c r="DC91" s="52"/>
      <c r="DD91" s="52"/>
      <c r="DE91" s="52"/>
      <c r="DF91" s="52"/>
      <c r="DG91" s="52"/>
      <c r="DH91" s="52"/>
      <c r="DI91" s="52"/>
      <c r="DJ91" s="52"/>
      <c r="DK91" s="52"/>
      <c r="DL91" s="52"/>
      <c r="DM91" s="52"/>
      <c r="DN91" s="52"/>
      <c r="DO91" s="52"/>
      <c r="DP91" s="52"/>
      <c r="DQ91" s="52"/>
      <c r="DR91" s="52"/>
      <c r="DS91" s="52"/>
      <c r="DT91" s="52"/>
      <c r="DU91" s="52"/>
      <c r="DV91" s="52"/>
      <c r="DW91" s="52"/>
      <c r="DX91" s="52"/>
      <c r="DY91" s="52"/>
      <c r="DZ91" s="52"/>
      <c r="EA91" s="52"/>
      <c r="EB91" s="52"/>
      <c r="EC91" s="52"/>
      <c r="ED91" s="52"/>
      <c r="EE91" s="52"/>
      <c r="EF91" s="52"/>
      <c r="EG91" s="52"/>
      <c r="EH91" s="52"/>
      <c r="EI91" s="52"/>
      <c r="EJ91" s="52"/>
      <c r="EK91" s="52"/>
      <c r="EL91" s="52"/>
      <c r="EM91" s="52"/>
      <c r="EN91" s="52"/>
      <c r="EO91" s="52"/>
      <c r="EP91" s="52"/>
      <c r="EQ91" s="52"/>
      <c r="ER91" s="52"/>
      <c r="ES91" s="52"/>
      <c r="ET91" s="52"/>
      <c r="EU91" s="52"/>
      <c r="EV91" s="52"/>
      <c r="EW91" s="52"/>
      <c r="EX91" s="52"/>
      <c r="EY91" s="52"/>
      <c r="EZ91" s="52"/>
      <c r="FA91" s="52"/>
      <c r="FB91" s="52"/>
      <c r="FC91" s="52"/>
      <c r="FD91" s="52"/>
      <c r="FE91" s="52"/>
      <c r="FF91" s="52"/>
      <c r="FG91" s="52"/>
      <c r="FH91" s="52"/>
      <c r="FI91" s="52"/>
      <c r="FJ91" s="52"/>
      <c r="FK91" s="52"/>
      <c r="FL91" s="52"/>
      <c r="FM91" s="52"/>
      <c r="FN91" s="52"/>
      <c r="FO91" s="52"/>
      <c r="FP91" s="52"/>
      <c r="FQ91" s="52"/>
      <c r="FR91" s="52"/>
      <c r="FS91" s="52"/>
      <c r="FT91" s="52"/>
      <c r="FU91" s="52"/>
      <c r="FV91" s="52"/>
      <c r="FW91" s="52"/>
      <c r="FX91" s="52"/>
      <c r="FY91" s="52"/>
      <c r="FZ91" s="52"/>
      <c r="GA91" s="52"/>
      <c r="GB91" s="52"/>
      <c r="GC91" s="52"/>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2"/>
      <c r="HP91" s="52"/>
      <c r="HQ91" s="52"/>
      <c r="HR91" s="52"/>
      <c r="HS91" s="52"/>
      <c r="HT91" s="52"/>
      <c r="HU91" s="52"/>
      <c r="HV91" s="52"/>
      <c r="HW91" s="52"/>
      <c r="HX91" s="52"/>
      <c r="HY91" s="52"/>
      <c r="HZ91" s="52"/>
      <c r="IA91" s="52"/>
      <c r="IB91" s="52"/>
      <c r="IC91" s="52"/>
      <c r="ID91" s="52"/>
      <c r="IE91" s="52"/>
      <c r="IF91" s="52"/>
      <c r="IG91" s="52"/>
      <c r="IH91" s="52"/>
      <c r="II91" s="52"/>
      <c r="IJ91" s="52"/>
      <c r="IK91" s="52"/>
      <c r="IL91" s="52"/>
      <c r="IM91" s="52"/>
      <c r="IN91" s="52"/>
      <c r="IO91" s="52"/>
      <c r="IP91" s="52"/>
      <c r="IQ91" s="52"/>
      <c r="IR91" s="52"/>
      <c r="IS91" s="52"/>
      <c r="IT91" s="52"/>
      <c r="IU91" s="52"/>
      <c r="IV91" s="52"/>
      <c r="IW91" s="52"/>
      <c r="IX91" s="52"/>
      <c r="IY91" s="52"/>
      <c r="IZ91" s="52"/>
    </row>
    <row r="92" spans="1:260" s="92" customFormat="1" x14ac:dyDescent="0.2">
      <c r="A92" s="51"/>
      <c r="B92" s="59">
        <f t="shared" si="3"/>
        <v>83</v>
      </c>
      <c r="C92" s="73" t="s">
        <v>1039</v>
      </c>
      <c r="D92" s="60"/>
      <c r="E92" s="96"/>
      <c r="F92" s="61" t="s">
        <v>355</v>
      </c>
      <c r="G92" s="61" t="s">
        <v>70</v>
      </c>
      <c r="H92" s="61" t="s">
        <v>388</v>
      </c>
      <c r="I92" s="61" t="s">
        <v>75</v>
      </c>
      <c r="J92" s="62" t="s">
        <v>489</v>
      </c>
      <c r="K92" s="97"/>
      <c r="L92" s="61" t="s">
        <v>295</v>
      </c>
      <c r="M92" s="61" t="s">
        <v>295</v>
      </c>
      <c r="N92" s="61"/>
      <c r="O92" s="63" t="s">
        <v>913</v>
      </c>
      <c r="P92" s="64" t="s">
        <v>912</v>
      </c>
      <c r="Q92" s="64"/>
      <c r="R92" s="96"/>
      <c r="S92" s="64" t="s">
        <v>1094</v>
      </c>
      <c r="T92" s="66"/>
      <c r="U92" s="64"/>
      <c r="V92" s="96"/>
      <c r="W92" s="64" t="s">
        <v>422</v>
      </c>
      <c r="X92" s="96"/>
      <c r="Y92" s="64" t="s">
        <v>991</v>
      </c>
      <c r="Z92" s="64"/>
      <c r="AA92" s="64"/>
      <c r="AB92" s="64"/>
      <c r="BI92" s="52"/>
      <c r="BJ92" s="52"/>
      <c r="BK92" s="52"/>
      <c r="BL92" s="52"/>
      <c r="BM92" s="52"/>
      <c r="BN92" s="52"/>
      <c r="BO92" s="52"/>
      <c r="BP92" s="52"/>
      <c r="BQ92" s="52"/>
      <c r="BR92" s="52"/>
      <c r="BS92" s="52"/>
      <c r="BT92" s="52"/>
      <c r="BU92" s="52"/>
      <c r="BV92" s="52"/>
      <c r="BW92" s="52"/>
      <c r="BX92" s="52"/>
      <c r="BY92" s="52"/>
      <c r="BZ92" s="52"/>
      <c r="CA92" s="52"/>
      <c r="CB92" s="52"/>
      <c r="CC92" s="52"/>
      <c r="CD92" s="52"/>
      <c r="CE92" s="52"/>
      <c r="CF92" s="52"/>
      <c r="CG92" s="52"/>
      <c r="CH92" s="52"/>
      <c r="CI92" s="52"/>
      <c r="CJ92" s="52"/>
      <c r="CK92" s="52"/>
      <c r="CL92" s="52"/>
      <c r="CM92" s="52"/>
      <c r="CN92" s="52"/>
      <c r="CO92" s="52"/>
      <c r="CP92" s="52"/>
      <c r="CQ92" s="52"/>
      <c r="CR92" s="52"/>
      <c r="CS92" s="52"/>
      <c r="CT92" s="52"/>
      <c r="CU92" s="52"/>
      <c r="CV92" s="52"/>
      <c r="CW92" s="52"/>
      <c r="CX92" s="52"/>
      <c r="CY92" s="52"/>
      <c r="CZ92" s="52"/>
      <c r="DA92" s="52"/>
      <c r="DB92" s="52"/>
      <c r="DC92" s="52"/>
      <c r="DD92" s="52"/>
      <c r="DE92" s="52"/>
      <c r="DF92" s="52"/>
      <c r="DG92" s="52"/>
      <c r="DH92" s="52"/>
      <c r="DI92" s="52"/>
      <c r="DJ92" s="52"/>
      <c r="DK92" s="52"/>
      <c r="DL92" s="52"/>
      <c r="DM92" s="52"/>
      <c r="DN92" s="52"/>
      <c r="DO92" s="52"/>
      <c r="DP92" s="52"/>
      <c r="DQ92" s="52"/>
      <c r="DR92" s="52"/>
      <c r="DS92" s="52"/>
      <c r="DT92" s="52"/>
      <c r="DU92" s="52"/>
      <c r="DV92" s="52"/>
      <c r="DW92" s="52"/>
      <c r="DX92" s="52"/>
      <c r="DY92" s="52"/>
      <c r="DZ92" s="52"/>
      <c r="EA92" s="52"/>
      <c r="EB92" s="52"/>
      <c r="EC92" s="52"/>
      <c r="ED92" s="52"/>
      <c r="EE92" s="52"/>
      <c r="EF92" s="52"/>
      <c r="EG92" s="52"/>
      <c r="EH92" s="52"/>
      <c r="EI92" s="52"/>
      <c r="EJ92" s="52"/>
      <c r="EK92" s="52"/>
      <c r="EL92" s="52"/>
      <c r="EM92" s="52"/>
      <c r="EN92" s="52"/>
      <c r="EO92" s="52"/>
      <c r="EP92" s="52"/>
      <c r="EQ92" s="52"/>
      <c r="ER92" s="52"/>
      <c r="ES92" s="52"/>
      <c r="ET92" s="52"/>
      <c r="EU92" s="52"/>
      <c r="EV92" s="52"/>
      <c r="EW92" s="52"/>
      <c r="EX92" s="52"/>
      <c r="EY92" s="52"/>
      <c r="EZ92" s="52"/>
      <c r="FA92" s="52"/>
      <c r="FB92" s="52"/>
      <c r="FC92" s="52"/>
      <c r="FD92" s="52"/>
      <c r="FE92" s="52"/>
      <c r="FF92" s="52"/>
      <c r="FG92" s="52"/>
      <c r="FH92" s="52"/>
      <c r="FI92" s="52"/>
      <c r="FJ92" s="52"/>
      <c r="FK92" s="52"/>
      <c r="FL92" s="52"/>
      <c r="FM92" s="52"/>
      <c r="FN92" s="52"/>
      <c r="FO92" s="52"/>
      <c r="FP92" s="52"/>
      <c r="FQ92" s="52"/>
      <c r="FR92" s="52"/>
      <c r="FS92" s="52"/>
      <c r="FT92" s="52"/>
      <c r="FU92" s="52"/>
      <c r="FV92" s="52"/>
      <c r="FW92" s="52"/>
      <c r="FX92" s="52"/>
      <c r="FY92" s="52"/>
      <c r="FZ92" s="52"/>
      <c r="GA92" s="52"/>
      <c r="GB92" s="52"/>
      <c r="GC92" s="52"/>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2"/>
      <c r="HP92" s="52"/>
      <c r="HQ92" s="52"/>
      <c r="HR92" s="52"/>
      <c r="HS92" s="52"/>
      <c r="HT92" s="52"/>
      <c r="HU92" s="52"/>
      <c r="HV92" s="52"/>
      <c r="HW92" s="52"/>
      <c r="HX92" s="52"/>
      <c r="HY92" s="52"/>
      <c r="HZ92" s="52"/>
      <c r="IA92" s="52"/>
      <c r="IB92" s="52"/>
      <c r="IC92" s="52"/>
      <c r="ID92" s="52"/>
      <c r="IE92" s="52"/>
      <c r="IF92" s="52"/>
      <c r="IG92" s="52"/>
      <c r="IH92" s="52"/>
      <c r="II92" s="52"/>
      <c r="IJ92" s="52"/>
      <c r="IK92" s="52"/>
      <c r="IL92" s="52"/>
      <c r="IM92" s="52"/>
      <c r="IN92" s="52"/>
      <c r="IO92" s="52"/>
      <c r="IP92" s="52"/>
      <c r="IQ92" s="52"/>
      <c r="IR92" s="52"/>
      <c r="IS92" s="52"/>
      <c r="IT92" s="52"/>
      <c r="IU92" s="52"/>
      <c r="IV92" s="52"/>
      <c r="IW92" s="52"/>
      <c r="IX92" s="52"/>
      <c r="IY92" s="52"/>
      <c r="IZ92" s="52"/>
    </row>
    <row r="93" spans="1:260" x14ac:dyDescent="0.2">
      <c r="B93" s="59">
        <f t="shared" si="3"/>
        <v>84</v>
      </c>
      <c r="C93" s="73" t="s">
        <v>1039</v>
      </c>
      <c r="D93" s="60"/>
      <c r="E93" s="56"/>
      <c r="F93" s="61" t="s">
        <v>366</v>
      </c>
      <c r="G93" s="61" t="s">
        <v>73</v>
      </c>
      <c r="H93" s="61" t="s">
        <v>99</v>
      </c>
      <c r="I93" s="61" t="s">
        <v>75</v>
      </c>
      <c r="J93" s="62" t="s">
        <v>501</v>
      </c>
      <c r="K93" s="58"/>
      <c r="L93" s="61" t="s">
        <v>1072</v>
      </c>
      <c r="M93" s="61" t="s">
        <v>295</v>
      </c>
      <c r="N93" s="62" t="s">
        <v>1067</v>
      </c>
      <c r="O93" s="63" t="s">
        <v>928</v>
      </c>
      <c r="P93" s="64" t="s">
        <v>930</v>
      </c>
      <c r="Q93" s="61" t="s">
        <v>295</v>
      </c>
      <c r="R93" s="56"/>
      <c r="S93" s="64" t="s">
        <v>20</v>
      </c>
      <c r="T93" s="66">
        <v>46219</v>
      </c>
      <c r="U93" s="64"/>
      <c r="V93" s="56"/>
      <c r="W93" s="64" t="s">
        <v>434</v>
      </c>
      <c r="X93" s="56"/>
      <c r="Y93" s="64" t="s">
        <v>991</v>
      </c>
      <c r="Z93" s="64"/>
      <c r="AA93" s="64"/>
      <c r="AB93" s="64"/>
    </row>
    <row r="94" spans="1:260" x14ac:dyDescent="0.2">
      <c r="B94" s="59">
        <f t="shared" si="3"/>
        <v>85</v>
      </c>
      <c r="C94" s="73" t="s">
        <v>1039</v>
      </c>
      <c r="D94" s="59"/>
      <c r="E94" s="56"/>
      <c r="F94" s="61" t="s">
        <v>522</v>
      </c>
      <c r="G94" s="61" t="s">
        <v>73</v>
      </c>
      <c r="H94" s="61" t="s">
        <v>547</v>
      </c>
      <c r="I94" s="61" t="s">
        <v>72</v>
      </c>
      <c r="J94" s="62" t="s">
        <v>574</v>
      </c>
      <c r="K94" s="58"/>
      <c r="L94" s="61" t="s">
        <v>1072</v>
      </c>
      <c r="M94" s="61" t="s">
        <v>295</v>
      </c>
      <c r="N94" s="62" t="s">
        <v>1077</v>
      </c>
      <c r="O94" s="63" t="s">
        <v>620</v>
      </c>
      <c r="P94" s="64" t="s">
        <v>856</v>
      </c>
      <c r="Q94" s="65" t="s">
        <v>857</v>
      </c>
      <c r="R94" s="56"/>
      <c r="S94" s="64" t="s">
        <v>20</v>
      </c>
      <c r="T94" s="66">
        <v>46219</v>
      </c>
      <c r="U94" s="64"/>
      <c r="V94" s="56"/>
      <c r="W94" s="64" t="s">
        <v>645</v>
      </c>
      <c r="X94" s="56"/>
      <c r="Y94" s="64" t="s">
        <v>991</v>
      </c>
      <c r="Z94" s="64"/>
      <c r="AA94" s="64"/>
      <c r="AB94" s="64"/>
    </row>
    <row r="95" spans="1:260" x14ac:dyDescent="0.2">
      <c r="B95" s="59">
        <f t="shared" si="3"/>
        <v>86</v>
      </c>
      <c r="C95" s="73" t="s">
        <v>1025</v>
      </c>
      <c r="D95" s="60">
        <v>0</v>
      </c>
      <c r="E95" s="56"/>
      <c r="F95" s="61" t="s">
        <v>57</v>
      </c>
      <c r="G95" s="61" t="s">
        <v>73</v>
      </c>
      <c r="H95" s="61" t="s">
        <v>102</v>
      </c>
      <c r="I95" s="61" t="s">
        <v>75</v>
      </c>
      <c r="J95" s="62" t="s">
        <v>235</v>
      </c>
      <c r="K95" s="58"/>
      <c r="L95" s="61" t="s">
        <v>1028</v>
      </c>
      <c r="M95" s="61"/>
      <c r="N95" s="62" t="s">
        <v>1029</v>
      </c>
      <c r="O95" s="64" t="s">
        <v>1027</v>
      </c>
      <c r="P95" s="64" t="s">
        <v>775</v>
      </c>
      <c r="Q95" s="64"/>
      <c r="R95" s="56"/>
      <c r="S95" s="64" t="s">
        <v>20</v>
      </c>
      <c r="T95" s="66">
        <v>46219</v>
      </c>
      <c r="U95" s="64"/>
      <c r="V95" s="56"/>
      <c r="W95" s="64" t="s">
        <v>196</v>
      </c>
      <c r="X95" s="56"/>
      <c r="Y95" s="64" t="s">
        <v>1030</v>
      </c>
      <c r="Z95" s="64"/>
      <c r="AA95" s="64"/>
      <c r="AB95" s="64"/>
    </row>
    <row r="96" spans="1:260" s="92" customFormat="1" x14ac:dyDescent="0.2">
      <c r="A96" s="51"/>
      <c r="B96" s="59">
        <f t="shared" si="3"/>
        <v>87</v>
      </c>
      <c r="C96" s="73" t="s">
        <v>1039</v>
      </c>
      <c r="D96" s="60"/>
      <c r="E96" s="96"/>
      <c r="F96" s="61" t="s">
        <v>359</v>
      </c>
      <c r="G96" s="61" t="s">
        <v>73</v>
      </c>
      <c r="H96" s="61" t="s">
        <v>97</v>
      </c>
      <c r="I96" s="61" t="s">
        <v>72</v>
      </c>
      <c r="J96" s="62" t="s">
        <v>493</v>
      </c>
      <c r="K96" s="97"/>
      <c r="L96" s="61"/>
      <c r="M96" s="61"/>
      <c r="N96" s="61"/>
      <c r="O96" s="63" t="s">
        <v>926</v>
      </c>
      <c r="P96" s="64" t="s">
        <v>927</v>
      </c>
      <c r="Q96" s="61" t="s">
        <v>295</v>
      </c>
      <c r="R96" s="96"/>
      <c r="S96" s="64" t="s">
        <v>1094</v>
      </c>
      <c r="T96" s="66"/>
      <c r="U96" s="64"/>
      <c r="V96" s="96"/>
      <c r="W96" s="64" t="s">
        <v>426</v>
      </c>
      <c r="X96" s="96"/>
      <c r="Y96" s="64" t="s">
        <v>1093</v>
      </c>
      <c r="Z96" s="64"/>
      <c r="AA96" s="64"/>
      <c r="AB96" s="64"/>
      <c r="BI96" s="52"/>
      <c r="BJ96" s="52"/>
      <c r="BK96" s="52"/>
      <c r="BL96" s="52"/>
      <c r="BM96" s="52"/>
      <c r="BN96" s="52"/>
      <c r="BO96" s="52"/>
      <c r="BP96" s="52"/>
      <c r="BQ96" s="52"/>
      <c r="BR96" s="52"/>
      <c r="BS96" s="52"/>
      <c r="BT96" s="52"/>
      <c r="BU96" s="52"/>
      <c r="BV96" s="52"/>
      <c r="BW96" s="52"/>
      <c r="BX96" s="52"/>
      <c r="BY96" s="52"/>
      <c r="BZ96" s="52"/>
      <c r="CA96" s="52"/>
      <c r="CB96" s="52"/>
      <c r="CC96" s="52"/>
      <c r="CD96" s="52"/>
      <c r="CE96" s="52"/>
      <c r="CF96" s="52"/>
      <c r="CG96" s="52"/>
      <c r="CH96" s="52"/>
      <c r="CI96" s="52"/>
      <c r="CJ96" s="52"/>
      <c r="CK96" s="52"/>
      <c r="CL96" s="52"/>
      <c r="CM96" s="52"/>
      <c r="CN96" s="52"/>
      <c r="CO96" s="52"/>
      <c r="CP96" s="52"/>
      <c r="CQ96" s="52"/>
      <c r="CR96" s="52"/>
      <c r="CS96" s="52"/>
      <c r="CT96" s="52"/>
      <c r="CU96" s="52"/>
      <c r="CV96" s="52"/>
      <c r="CW96" s="52"/>
      <c r="CX96" s="52"/>
      <c r="CY96" s="52"/>
      <c r="CZ96" s="52"/>
      <c r="DA96" s="52"/>
      <c r="DB96" s="52"/>
      <c r="DC96" s="52"/>
      <c r="DD96" s="52"/>
      <c r="DE96" s="52"/>
      <c r="DF96" s="52"/>
      <c r="DG96" s="52"/>
      <c r="DH96" s="52"/>
      <c r="DI96" s="52"/>
      <c r="DJ96" s="52"/>
      <c r="DK96" s="52"/>
      <c r="DL96" s="52"/>
      <c r="DM96" s="52"/>
      <c r="DN96" s="52"/>
      <c r="DO96" s="52"/>
      <c r="DP96" s="52"/>
      <c r="DQ96" s="52"/>
      <c r="DR96" s="52"/>
      <c r="DS96" s="52"/>
      <c r="DT96" s="52"/>
      <c r="DU96" s="52"/>
      <c r="DV96" s="52"/>
      <c r="DW96" s="52"/>
      <c r="DX96" s="52"/>
      <c r="DY96" s="52"/>
      <c r="DZ96" s="52"/>
      <c r="EA96" s="52"/>
      <c r="EB96" s="52"/>
      <c r="EC96" s="52"/>
      <c r="ED96" s="52"/>
      <c r="EE96" s="52"/>
      <c r="EF96" s="52"/>
      <c r="EG96" s="52"/>
      <c r="EH96" s="52"/>
      <c r="EI96" s="52"/>
      <c r="EJ96" s="52"/>
      <c r="EK96" s="52"/>
      <c r="EL96" s="52"/>
      <c r="EM96" s="52"/>
      <c r="EN96" s="52"/>
      <c r="EO96" s="52"/>
      <c r="EP96" s="52"/>
      <c r="EQ96" s="52"/>
      <c r="ER96" s="52"/>
      <c r="ES96" s="52"/>
      <c r="ET96" s="52"/>
      <c r="EU96" s="52"/>
      <c r="EV96" s="52"/>
      <c r="EW96" s="52"/>
      <c r="EX96" s="52"/>
      <c r="EY96" s="52"/>
      <c r="EZ96" s="52"/>
      <c r="FA96" s="52"/>
      <c r="FB96" s="52"/>
      <c r="FC96" s="52"/>
      <c r="FD96" s="52"/>
      <c r="FE96" s="52"/>
      <c r="FF96" s="52"/>
      <c r="FG96" s="52"/>
      <c r="FH96" s="52"/>
      <c r="FI96" s="52"/>
      <c r="FJ96" s="52"/>
      <c r="FK96" s="52"/>
      <c r="FL96" s="52"/>
      <c r="FM96" s="52"/>
      <c r="FN96" s="52"/>
      <c r="FO96" s="52"/>
      <c r="FP96" s="52"/>
      <c r="FQ96" s="52"/>
      <c r="FR96" s="52"/>
      <c r="FS96" s="52"/>
      <c r="FT96" s="52"/>
      <c r="FU96" s="52"/>
      <c r="FV96" s="52"/>
      <c r="FW96" s="52"/>
      <c r="FX96" s="52"/>
      <c r="FY96" s="52"/>
      <c r="FZ96" s="52"/>
      <c r="GA96" s="52"/>
      <c r="GB96" s="52"/>
      <c r="GC96" s="52"/>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2"/>
      <c r="HP96" s="52"/>
      <c r="HQ96" s="52"/>
      <c r="HR96" s="52"/>
      <c r="HS96" s="52"/>
      <c r="HT96" s="52"/>
      <c r="HU96" s="52"/>
      <c r="HV96" s="52"/>
      <c r="HW96" s="52"/>
      <c r="HX96" s="52"/>
      <c r="HY96" s="52"/>
      <c r="HZ96" s="52"/>
      <c r="IA96" s="52"/>
      <c r="IB96" s="52"/>
      <c r="IC96" s="52"/>
      <c r="ID96" s="52"/>
      <c r="IE96" s="52"/>
      <c r="IF96" s="52"/>
      <c r="IG96" s="52"/>
      <c r="IH96" s="52"/>
      <c r="II96" s="52"/>
      <c r="IJ96" s="52"/>
      <c r="IK96" s="52"/>
      <c r="IL96" s="52"/>
      <c r="IM96" s="52"/>
      <c r="IN96" s="52"/>
      <c r="IO96" s="52"/>
      <c r="IP96" s="52"/>
      <c r="IQ96" s="52"/>
      <c r="IR96" s="52"/>
      <c r="IS96" s="52"/>
      <c r="IT96" s="52"/>
      <c r="IU96" s="52"/>
      <c r="IV96" s="52"/>
      <c r="IW96" s="52"/>
      <c r="IX96" s="52"/>
      <c r="IY96" s="52"/>
      <c r="IZ96" s="52"/>
    </row>
    <row r="97" spans="1:260" x14ac:dyDescent="0.2">
      <c r="B97" s="59">
        <f t="shared" si="3"/>
        <v>88</v>
      </c>
      <c r="C97" s="73" t="s">
        <v>1039</v>
      </c>
      <c r="D97" s="59"/>
      <c r="E97" s="56"/>
      <c r="F97" s="61" t="s">
        <v>516</v>
      </c>
      <c r="G97" s="61" t="s">
        <v>70</v>
      </c>
      <c r="H97" s="61" t="s">
        <v>542</v>
      </c>
      <c r="I97" s="61" t="s">
        <v>77</v>
      </c>
      <c r="J97" s="62" t="s">
        <v>568</v>
      </c>
      <c r="K97" s="58"/>
      <c r="L97" s="61" t="s">
        <v>1074</v>
      </c>
      <c r="M97" s="61" t="s">
        <v>295</v>
      </c>
      <c r="N97" s="62" t="s">
        <v>1075</v>
      </c>
      <c r="O97" s="63" t="s">
        <v>616</v>
      </c>
      <c r="P97" s="64" t="s">
        <v>867</v>
      </c>
      <c r="Q97" s="61" t="s">
        <v>295</v>
      </c>
      <c r="R97" s="56"/>
      <c r="S97" s="64" t="s">
        <v>20</v>
      </c>
      <c r="T97" s="66">
        <v>46219</v>
      </c>
      <c r="U97" s="64"/>
      <c r="V97" s="56"/>
      <c r="W97" s="64" t="s">
        <v>639</v>
      </c>
      <c r="X97" s="56"/>
      <c r="Y97" s="64" t="s">
        <v>991</v>
      </c>
      <c r="Z97" s="64"/>
      <c r="AA97" s="64"/>
      <c r="AB97" s="64"/>
    </row>
    <row r="98" spans="1:260" s="92" customFormat="1" x14ac:dyDescent="0.2">
      <c r="A98" s="51"/>
      <c r="B98" s="59">
        <f t="shared" si="3"/>
        <v>89</v>
      </c>
      <c r="C98" s="73" t="s">
        <v>1039</v>
      </c>
      <c r="D98" s="60"/>
      <c r="E98" s="96"/>
      <c r="F98" s="61" t="s">
        <v>361</v>
      </c>
      <c r="G98" s="61" t="s">
        <v>73</v>
      </c>
      <c r="H98" s="61" t="s">
        <v>103</v>
      </c>
      <c r="I98" s="61" t="s">
        <v>72</v>
      </c>
      <c r="J98" s="62" t="s">
        <v>495</v>
      </c>
      <c r="K98" s="97"/>
      <c r="L98" s="61"/>
      <c r="M98" s="61"/>
      <c r="N98" s="61"/>
      <c r="O98" s="63" t="s">
        <v>932</v>
      </c>
      <c r="P98" s="64" t="s">
        <v>931</v>
      </c>
      <c r="Q98" s="61" t="s">
        <v>295</v>
      </c>
      <c r="R98" s="96"/>
      <c r="S98" s="64" t="s">
        <v>1094</v>
      </c>
      <c r="T98" s="66"/>
      <c r="U98" s="64"/>
      <c r="V98" s="96"/>
      <c r="W98" s="64" t="s">
        <v>428</v>
      </c>
      <c r="X98" s="96"/>
      <c r="Y98" s="64" t="s">
        <v>983</v>
      </c>
      <c r="Z98" s="64"/>
      <c r="AA98" s="64"/>
      <c r="AB98" s="64"/>
      <c r="BI98" s="52"/>
      <c r="BJ98" s="52"/>
      <c r="BK98" s="52"/>
      <c r="BL98" s="52"/>
      <c r="BM98" s="52"/>
      <c r="BN98" s="52"/>
      <c r="BO98" s="52"/>
      <c r="BP98" s="52"/>
      <c r="BQ98" s="52"/>
      <c r="BR98" s="52"/>
      <c r="BS98" s="52"/>
      <c r="BT98" s="52"/>
      <c r="BU98" s="52"/>
      <c r="BV98" s="52"/>
      <c r="BW98" s="52"/>
      <c r="BX98" s="52"/>
      <c r="BY98" s="52"/>
      <c r="BZ98" s="52"/>
      <c r="CA98" s="52"/>
      <c r="CB98" s="52"/>
      <c r="CC98" s="52"/>
      <c r="CD98" s="52"/>
      <c r="CE98" s="52"/>
      <c r="CF98" s="52"/>
      <c r="CG98" s="52"/>
      <c r="CH98" s="52"/>
      <c r="CI98" s="52"/>
      <c r="CJ98" s="52"/>
      <c r="CK98" s="52"/>
      <c r="CL98" s="52"/>
      <c r="CM98" s="52"/>
      <c r="CN98" s="52"/>
      <c r="CO98" s="52"/>
      <c r="CP98" s="52"/>
      <c r="CQ98" s="52"/>
      <c r="CR98" s="52"/>
      <c r="CS98" s="52"/>
      <c r="CT98" s="52"/>
      <c r="CU98" s="52"/>
      <c r="CV98" s="52"/>
      <c r="CW98" s="52"/>
      <c r="CX98" s="52"/>
      <c r="CY98" s="52"/>
      <c r="CZ98" s="52"/>
      <c r="DA98" s="52"/>
      <c r="DB98" s="52"/>
      <c r="DC98" s="52"/>
      <c r="DD98" s="52"/>
      <c r="DE98" s="52"/>
      <c r="DF98" s="52"/>
      <c r="DG98" s="52"/>
      <c r="DH98" s="52"/>
      <c r="DI98" s="52"/>
      <c r="DJ98" s="52"/>
      <c r="DK98" s="52"/>
      <c r="DL98" s="52"/>
      <c r="DM98" s="52"/>
      <c r="DN98" s="52"/>
      <c r="DO98" s="52"/>
      <c r="DP98" s="52"/>
      <c r="DQ98" s="52"/>
      <c r="DR98" s="52"/>
      <c r="DS98" s="52"/>
      <c r="DT98" s="52"/>
      <c r="DU98" s="52"/>
      <c r="DV98" s="52"/>
      <c r="DW98" s="52"/>
      <c r="DX98" s="52"/>
      <c r="DY98" s="52"/>
      <c r="DZ98" s="52"/>
      <c r="EA98" s="52"/>
      <c r="EB98" s="52"/>
      <c r="EC98" s="52"/>
      <c r="ED98" s="52"/>
      <c r="EE98" s="52"/>
      <c r="EF98" s="52"/>
      <c r="EG98" s="52"/>
      <c r="EH98" s="52"/>
      <c r="EI98" s="52"/>
      <c r="EJ98" s="52"/>
      <c r="EK98" s="52"/>
      <c r="EL98" s="52"/>
      <c r="EM98" s="52"/>
      <c r="EN98" s="52"/>
      <c r="EO98" s="52"/>
      <c r="EP98" s="52"/>
      <c r="EQ98" s="52"/>
      <c r="ER98" s="52"/>
      <c r="ES98" s="52"/>
      <c r="ET98" s="52"/>
      <c r="EU98" s="52"/>
      <c r="EV98" s="52"/>
      <c r="EW98" s="52"/>
      <c r="EX98" s="52"/>
      <c r="EY98" s="52"/>
      <c r="EZ98" s="52"/>
      <c r="FA98" s="52"/>
      <c r="FB98" s="52"/>
      <c r="FC98" s="52"/>
      <c r="FD98" s="52"/>
      <c r="FE98" s="52"/>
      <c r="FF98" s="52"/>
      <c r="FG98" s="52"/>
      <c r="FH98" s="52"/>
      <c r="FI98" s="52"/>
      <c r="FJ98" s="52"/>
      <c r="FK98" s="52"/>
      <c r="FL98" s="52"/>
      <c r="FM98" s="52"/>
      <c r="FN98" s="52"/>
      <c r="FO98" s="52"/>
      <c r="FP98" s="52"/>
      <c r="FQ98" s="52"/>
      <c r="FR98" s="52"/>
      <c r="FS98" s="52"/>
      <c r="FT98" s="52"/>
      <c r="FU98" s="52"/>
      <c r="FV98" s="52"/>
      <c r="FW98" s="52"/>
      <c r="FX98" s="52"/>
      <c r="FY98" s="52"/>
      <c r="FZ98" s="52"/>
      <c r="GA98" s="52"/>
      <c r="GB98" s="52"/>
      <c r="GC98" s="52"/>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2"/>
      <c r="HP98" s="52"/>
      <c r="HQ98" s="52"/>
      <c r="HR98" s="52"/>
      <c r="HS98" s="52"/>
      <c r="HT98" s="52"/>
      <c r="HU98" s="52"/>
      <c r="HV98" s="52"/>
      <c r="HW98" s="52"/>
      <c r="HX98" s="52"/>
      <c r="HY98" s="52"/>
      <c r="HZ98" s="52"/>
      <c r="IA98" s="52"/>
      <c r="IB98" s="52"/>
      <c r="IC98" s="52"/>
      <c r="ID98" s="52"/>
      <c r="IE98" s="52"/>
      <c r="IF98" s="52"/>
      <c r="IG98" s="52"/>
      <c r="IH98" s="52"/>
      <c r="II98" s="52"/>
      <c r="IJ98" s="52"/>
      <c r="IK98" s="52"/>
      <c r="IL98" s="52"/>
      <c r="IM98" s="52"/>
      <c r="IN98" s="52"/>
      <c r="IO98" s="52"/>
      <c r="IP98" s="52"/>
      <c r="IQ98" s="52"/>
      <c r="IR98" s="52"/>
      <c r="IS98" s="52"/>
      <c r="IT98" s="52"/>
      <c r="IU98" s="52"/>
      <c r="IV98" s="52"/>
      <c r="IW98" s="52"/>
      <c r="IX98" s="52"/>
      <c r="IY98" s="52"/>
      <c r="IZ98" s="52"/>
    </row>
    <row r="99" spans="1:260" s="92" customFormat="1" x14ac:dyDescent="0.2">
      <c r="A99" s="51"/>
      <c r="B99" s="59">
        <f t="shared" si="3"/>
        <v>90</v>
      </c>
      <c r="C99" s="73" t="s">
        <v>1039</v>
      </c>
      <c r="D99" s="60"/>
      <c r="E99" s="96"/>
      <c r="F99" s="61" t="s">
        <v>362</v>
      </c>
      <c r="G99" s="61" t="s">
        <v>70</v>
      </c>
      <c r="H99" s="61" t="s">
        <v>392</v>
      </c>
      <c r="I99" s="61" t="s">
        <v>72</v>
      </c>
      <c r="J99" s="61" t="s">
        <v>496</v>
      </c>
      <c r="K99" s="97"/>
      <c r="L99" s="61" t="s">
        <v>295</v>
      </c>
      <c r="M99" s="61" t="s">
        <v>295</v>
      </c>
      <c r="N99" s="61"/>
      <c r="O99" s="63" t="s">
        <v>935</v>
      </c>
      <c r="P99" s="64" t="s">
        <v>936</v>
      </c>
      <c r="Q99" s="64" t="s">
        <v>971</v>
      </c>
      <c r="R99" s="96"/>
      <c r="S99" s="64" t="s">
        <v>1094</v>
      </c>
      <c r="T99" s="66"/>
      <c r="U99" s="64"/>
      <c r="V99" s="96"/>
      <c r="W99" s="64" t="s">
        <v>429</v>
      </c>
      <c r="X99" s="96"/>
      <c r="Y99" s="64" t="s">
        <v>983</v>
      </c>
      <c r="Z99" s="64"/>
      <c r="AA99" s="64"/>
      <c r="AB99" s="64"/>
      <c r="BI99" s="52"/>
      <c r="BJ99" s="52"/>
      <c r="BK99" s="52"/>
      <c r="BL99" s="52"/>
      <c r="BM99" s="52"/>
      <c r="BN99" s="52"/>
      <c r="BO99" s="52"/>
      <c r="BP99" s="52"/>
      <c r="BQ99" s="52"/>
      <c r="BR99" s="52"/>
      <c r="BS99" s="52"/>
      <c r="BT99" s="52"/>
      <c r="BU99" s="52"/>
      <c r="BV99" s="52"/>
      <c r="BW99" s="52"/>
      <c r="BX99" s="52"/>
      <c r="BY99" s="52"/>
      <c r="BZ99" s="52"/>
      <c r="CA99" s="52"/>
      <c r="CB99" s="52"/>
      <c r="CC99" s="52"/>
      <c r="CD99" s="52"/>
      <c r="CE99" s="52"/>
      <c r="CF99" s="52"/>
      <c r="CG99" s="52"/>
      <c r="CH99" s="52"/>
      <c r="CI99" s="52"/>
      <c r="CJ99" s="52"/>
      <c r="CK99" s="52"/>
      <c r="CL99" s="52"/>
      <c r="CM99" s="52"/>
      <c r="CN99" s="52"/>
      <c r="CO99" s="52"/>
      <c r="CP99" s="52"/>
      <c r="CQ99" s="52"/>
      <c r="CR99" s="52"/>
      <c r="CS99" s="52"/>
      <c r="CT99" s="52"/>
      <c r="CU99" s="52"/>
      <c r="CV99" s="52"/>
      <c r="CW99" s="52"/>
      <c r="CX99" s="52"/>
      <c r="CY99" s="52"/>
      <c r="CZ99" s="52"/>
      <c r="DA99" s="52"/>
      <c r="DB99" s="52"/>
      <c r="DC99" s="52"/>
      <c r="DD99" s="52"/>
      <c r="DE99" s="52"/>
      <c r="DF99" s="52"/>
      <c r="DG99" s="52"/>
      <c r="DH99" s="52"/>
      <c r="DI99" s="52"/>
      <c r="DJ99" s="52"/>
      <c r="DK99" s="52"/>
      <c r="DL99" s="52"/>
      <c r="DM99" s="52"/>
      <c r="DN99" s="52"/>
      <c r="DO99" s="52"/>
      <c r="DP99" s="52"/>
      <c r="DQ99" s="52"/>
      <c r="DR99" s="52"/>
      <c r="DS99" s="52"/>
      <c r="DT99" s="52"/>
      <c r="DU99" s="52"/>
      <c r="DV99" s="52"/>
      <c r="DW99" s="52"/>
      <c r="DX99" s="52"/>
      <c r="DY99" s="52"/>
      <c r="DZ99" s="52"/>
      <c r="EA99" s="52"/>
      <c r="EB99" s="52"/>
      <c r="EC99" s="52"/>
      <c r="ED99" s="52"/>
      <c r="EE99" s="52"/>
      <c r="EF99" s="52"/>
      <c r="EG99" s="52"/>
      <c r="EH99" s="52"/>
      <c r="EI99" s="52"/>
      <c r="EJ99" s="52"/>
      <c r="EK99" s="52"/>
      <c r="EL99" s="52"/>
      <c r="EM99" s="52"/>
      <c r="EN99" s="52"/>
      <c r="EO99" s="52"/>
      <c r="EP99" s="52"/>
      <c r="EQ99" s="52"/>
      <c r="ER99" s="52"/>
      <c r="ES99" s="52"/>
      <c r="ET99" s="52"/>
      <c r="EU99" s="52"/>
      <c r="EV99" s="52"/>
      <c r="EW99" s="52"/>
      <c r="EX99" s="52"/>
      <c r="EY99" s="52"/>
      <c r="EZ99" s="52"/>
      <c r="FA99" s="52"/>
      <c r="FB99" s="52"/>
      <c r="FC99" s="52"/>
      <c r="FD99" s="52"/>
      <c r="FE99" s="52"/>
      <c r="FF99" s="52"/>
      <c r="FG99" s="52"/>
      <c r="FH99" s="52"/>
      <c r="FI99" s="52"/>
      <c r="FJ99" s="52"/>
      <c r="FK99" s="52"/>
      <c r="FL99" s="52"/>
      <c r="FM99" s="52"/>
      <c r="FN99" s="52"/>
      <c r="FO99" s="52"/>
      <c r="FP99" s="52"/>
      <c r="FQ99" s="52"/>
      <c r="FR99" s="52"/>
      <c r="FS99" s="52"/>
      <c r="FT99" s="52"/>
      <c r="FU99" s="52"/>
      <c r="FV99" s="52"/>
      <c r="FW99" s="52"/>
      <c r="FX99" s="52"/>
      <c r="FY99" s="52"/>
      <c r="FZ99" s="52"/>
      <c r="GA99" s="52"/>
      <c r="GB99" s="52"/>
      <c r="GC99" s="52"/>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2"/>
      <c r="HP99" s="52"/>
      <c r="HQ99" s="52"/>
      <c r="HR99" s="52"/>
      <c r="HS99" s="52"/>
      <c r="HT99" s="52"/>
      <c r="HU99" s="52"/>
      <c r="HV99" s="52"/>
      <c r="HW99" s="52"/>
      <c r="HX99" s="52"/>
      <c r="HY99" s="52"/>
      <c r="HZ99" s="52"/>
      <c r="IA99" s="52"/>
      <c r="IB99" s="52"/>
      <c r="IC99" s="52"/>
      <c r="ID99" s="52"/>
      <c r="IE99" s="52"/>
      <c r="IF99" s="52"/>
      <c r="IG99" s="52"/>
      <c r="IH99" s="52"/>
      <c r="II99" s="52"/>
      <c r="IJ99" s="52"/>
      <c r="IK99" s="52"/>
      <c r="IL99" s="52"/>
      <c r="IM99" s="52"/>
      <c r="IN99" s="52"/>
      <c r="IO99" s="52"/>
      <c r="IP99" s="52"/>
      <c r="IQ99" s="52"/>
      <c r="IR99" s="52"/>
      <c r="IS99" s="52"/>
      <c r="IT99" s="52"/>
      <c r="IU99" s="52"/>
      <c r="IV99" s="52"/>
      <c r="IW99" s="52"/>
      <c r="IX99" s="52"/>
      <c r="IY99" s="52"/>
      <c r="IZ99" s="52"/>
    </row>
    <row r="100" spans="1:260" s="92" customFormat="1" x14ac:dyDescent="0.2">
      <c r="A100" s="51"/>
      <c r="B100" s="59">
        <f t="shared" si="3"/>
        <v>91</v>
      </c>
      <c r="C100" s="73" t="s">
        <v>1039</v>
      </c>
      <c r="D100" s="60"/>
      <c r="E100" s="96"/>
      <c r="F100" s="61" t="s">
        <v>973</v>
      </c>
      <c r="G100" s="61" t="s">
        <v>70</v>
      </c>
      <c r="H100" s="61" t="s">
        <v>393</v>
      </c>
      <c r="I100" s="61" t="s">
        <v>72</v>
      </c>
      <c r="J100" s="61" t="s">
        <v>497</v>
      </c>
      <c r="K100" s="97"/>
      <c r="L100" s="61" t="s">
        <v>295</v>
      </c>
      <c r="M100" s="61" t="s">
        <v>295</v>
      </c>
      <c r="N100" s="61"/>
      <c r="O100" s="63" t="s">
        <v>937</v>
      </c>
      <c r="P100" s="64" t="s">
        <v>940</v>
      </c>
      <c r="Q100" s="61" t="s">
        <v>295</v>
      </c>
      <c r="R100" s="96"/>
      <c r="S100" s="64" t="s">
        <v>1094</v>
      </c>
      <c r="T100" s="66"/>
      <c r="U100" s="64"/>
      <c r="V100" s="96"/>
      <c r="W100" s="64" t="s">
        <v>430</v>
      </c>
      <c r="X100" s="96"/>
      <c r="Y100" s="64" t="s">
        <v>1061</v>
      </c>
      <c r="Z100" s="64"/>
      <c r="AA100" s="64"/>
      <c r="AB100" s="64"/>
      <c r="BI100" s="52"/>
      <c r="BJ100" s="52"/>
      <c r="BK100" s="52"/>
      <c r="BL100" s="52"/>
      <c r="BM100" s="52"/>
      <c r="BN100" s="52"/>
      <c r="BO100" s="52"/>
      <c r="BP100" s="52"/>
      <c r="BQ100" s="52"/>
      <c r="BR100" s="52"/>
      <c r="BS100" s="52"/>
      <c r="BT100" s="52"/>
      <c r="BU100" s="52"/>
      <c r="BV100" s="52"/>
      <c r="BW100" s="52"/>
      <c r="BX100" s="52"/>
      <c r="BY100" s="52"/>
      <c r="BZ100" s="52"/>
      <c r="CA100" s="52"/>
      <c r="CB100" s="52"/>
      <c r="CC100" s="52"/>
      <c r="CD100" s="52"/>
      <c r="CE100" s="52"/>
      <c r="CF100" s="52"/>
      <c r="CG100" s="52"/>
      <c r="CH100" s="52"/>
      <c r="CI100" s="52"/>
      <c r="CJ100" s="52"/>
      <c r="CK100" s="52"/>
      <c r="CL100" s="52"/>
      <c r="CM100" s="52"/>
      <c r="CN100" s="52"/>
      <c r="CO100" s="52"/>
      <c r="CP100" s="52"/>
      <c r="CQ100" s="52"/>
      <c r="CR100" s="52"/>
      <c r="CS100" s="52"/>
      <c r="CT100" s="52"/>
      <c r="CU100" s="52"/>
      <c r="CV100" s="52"/>
      <c r="CW100" s="52"/>
      <c r="CX100" s="52"/>
      <c r="CY100" s="52"/>
      <c r="CZ100" s="52"/>
      <c r="DA100" s="52"/>
      <c r="DB100" s="52"/>
      <c r="DC100" s="52"/>
      <c r="DD100" s="52"/>
      <c r="DE100" s="52"/>
      <c r="DF100" s="52"/>
      <c r="DG100" s="52"/>
      <c r="DH100" s="52"/>
      <c r="DI100" s="52"/>
      <c r="DJ100" s="52"/>
      <c r="DK100" s="52"/>
      <c r="DL100" s="52"/>
      <c r="DM100" s="52"/>
      <c r="DN100" s="52"/>
      <c r="DO100" s="52"/>
      <c r="DP100" s="52"/>
      <c r="DQ100" s="52"/>
      <c r="DR100" s="52"/>
      <c r="DS100" s="52"/>
      <c r="DT100" s="52"/>
      <c r="DU100" s="52"/>
      <c r="DV100" s="52"/>
      <c r="DW100" s="52"/>
      <c r="DX100" s="52"/>
      <c r="DY100" s="52"/>
      <c r="DZ100" s="52"/>
      <c r="EA100" s="52"/>
      <c r="EB100" s="52"/>
      <c r="EC100" s="52"/>
      <c r="ED100" s="52"/>
      <c r="EE100" s="52"/>
      <c r="EF100" s="52"/>
      <c r="EG100" s="52"/>
      <c r="EH100" s="52"/>
      <c r="EI100" s="52"/>
      <c r="EJ100" s="52"/>
      <c r="EK100" s="52"/>
      <c r="EL100" s="52"/>
      <c r="EM100" s="52"/>
      <c r="EN100" s="52"/>
      <c r="EO100" s="52"/>
      <c r="EP100" s="52"/>
      <c r="EQ100" s="52"/>
      <c r="ER100" s="52"/>
      <c r="ES100" s="52"/>
      <c r="ET100" s="52"/>
      <c r="EU100" s="52"/>
      <c r="EV100" s="52"/>
      <c r="EW100" s="52"/>
      <c r="EX100" s="52"/>
      <c r="EY100" s="52"/>
      <c r="EZ100" s="52"/>
      <c r="FA100" s="52"/>
      <c r="FB100" s="52"/>
      <c r="FC100" s="52"/>
      <c r="FD100" s="52"/>
      <c r="FE100" s="52"/>
      <c r="FF100" s="52"/>
      <c r="FG100" s="52"/>
      <c r="FH100" s="52"/>
      <c r="FI100" s="52"/>
      <c r="FJ100" s="52"/>
      <c r="FK100" s="52"/>
      <c r="FL100" s="52"/>
      <c r="FM100" s="52"/>
      <c r="FN100" s="52"/>
      <c r="FO100" s="52"/>
      <c r="FP100" s="52"/>
      <c r="FQ100" s="52"/>
      <c r="FR100" s="52"/>
      <c r="FS100" s="52"/>
      <c r="FT100" s="52"/>
      <c r="FU100" s="52"/>
      <c r="FV100" s="52"/>
      <c r="FW100" s="52"/>
      <c r="FX100" s="52"/>
      <c r="FY100" s="52"/>
      <c r="FZ100" s="52"/>
      <c r="GA100" s="52"/>
      <c r="GB100" s="52"/>
      <c r="GC100" s="52"/>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2"/>
      <c r="HP100" s="52"/>
      <c r="HQ100" s="52"/>
      <c r="HR100" s="52"/>
      <c r="HS100" s="52"/>
      <c r="HT100" s="52"/>
      <c r="HU100" s="52"/>
      <c r="HV100" s="52"/>
      <c r="HW100" s="52"/>
      <c r="HX100" s="52"/>
      <c r="HY100" s="52"/>
      <c r="HZ100" s="52"/>
      <c r="IA100" s="52"/>
      <c r="IB100" s="52"/>
      <c r="IC100" s="52"/>
      <c r="ID100" s="52"/>
      <c r="IE100" s="52"/>
      <c r="IF100" s="52"/>
      <c r="IG100" s="52"/>
      <c r="IH100" s="52"/>
      <c r="II100" s="52"/>
      <c r="IJ100" s="52"/>
      <c r="IK100" s="52"/>
      <c r="IL100" s="52"/>
      <c r="IM100" s="52"/>
      <c r="IN100" s="52"/>
      <c r="IO100" s="52"/>
      <c r="IP100" s="52"/>
      <c r="IQ100" s="52"/>
      <c r="IR100" s="52"/>
      <c r="IS100" s="52"/>
      <c r="IT100" s="52"/>
      <c r="IU100" s="52"/>
      <c r="IV100" s="52"/>
      <c r="IW100" s="52"/>
      <c r="IX100" s="52"/>
      <c r="IY100" s="52"/>
      <c r="IZ100" s="52"/>
    </row>
    <row r="101" spans="1:260" x14ac:dyDescent="0.2">
      <c r="B101" s="59">
        <f t="shared" si="3"/>
        <v>92</v>
      </c>
      <c r="C101" s="73" t="s">
        <v>1039</v>
      </c>
      <c r="D101" s="60"/>
      <c r="E101" s="56"/>
      <c r="F101" s="61" t="s">
        <v>349</v>
      </c>
      <c r="G101" s="61" t="s">
        <v>70</v>
      </c>
      <c r="H101" s="61" t="s">
        <v>71</v>
      </c>
      <c r="I101" s="61" t="s">
        <v>72</v>
      </c>
      <c r="J101" s="61" t="s">
        <v>483</v>
      </c>
      <c r="K101" s="58"/>
      <c r="L101" s="61" t="s">
        <v>1048</v>
      </c>
      <c r="M101" s="61" t="s">
        <v>295</v>
      </c>
      <c r="N101" s="62" t="s">
        <v>1049</v>
      </c>
      <c r="O101" s="63" t="s">
        <v>980</v>
      </c>
      <c r="P101" s="64" t="s">
        <v>706</v>
      </c>
      <c r="Q101" s="64"/>
      <c r="R101" s="56"/>
      <c r="S101" s="64" t="s">
        <v>20</v>
      </c>
      <c r="T101" s="66">
        <v>46219</v>
      </c>
      <c r="U101" s="64"/>
      <c r="V101" s="56"/>
      <c r="W101" s="64" t="s">
        <v>415</v>
      </c>
      <c r="X101" s="56"/>
      <c r="Y101" s="64" t="s">
        <v>991</v>
      </c>
      <c r="Z101" s="64"/>
      <c r="AA101" s="64"/>
      <c r="AB101" s="64"/>
    </row>
    <row r="102" spans="1:260" s="92" customFormat="1" x14ac:dyDescent="0.2">
      <c r="A102" s="51"/>
      <c r="B102" s="59">
        <f t="shared" si="3"/>
        <v>93</v>
      </c>
      <c r="C102" s="73" t="s">
        <v>1039</v>
      </c>
      <c r="D102" s="60"/>
      <c r="E102" s="96"/>
      <c r="F102" s="61" t="s">
        <v>364</v>
      </c>
      <c r="G102" s="61" t="s">
        <v>73</v>
      </c>
      <c r="H102" s="61" t="s">
        <v>99</v>
      </c>
      <c r="I102" s="61" t="s">
        <v>72</v>
      </c>
      <c r="J102" s="62" t="s">
        <v>499</v>
      </c>
      <c r="K102" s="97"/>
      <c r="L102" s="61" t="s">
        <v>295</v>
      </c>
      <c r="M102" s="61" t="s">
        <v>295</v>
      </c>
      <c r="N102" s="61"/>
      <c r="O102" s="63" t="s">
        <v>938</v>
      </c>
      <c r="P102" s="64" t="s">
        <v>939</v>
      </c>
      <c r="Q102" s="61" t="s">
        <v>295</v>
      </c>
      <c r="R102" s="96"/>
      <c r="S102" s="64" t="s">
        <v>1094</v>
      </c>
      <c r="T102" s="66"/>
      <c r="U102" s="64"/>
      <c r="V102" s="96"/>
      <c r="W102" s="64" t="s">
        <v>432</v>
      </c>
      <c r="X102" s="96"/>
      <c r="Y102" s="64" t="s">
        <v>983</v>
      </c>
      <c r="Z102" s="64"/>
      <c r="AA102" s="64"/>
      <c r="AB102" s="64"/>
      <c r="BI102" s="52"/>
      <c r="BJ102" s="52"/>
      <c r="BK102" s="52"/>
      <c r="BL102" s="52"/>
      <c r="BM102" s="52"/>
      <c r="BN102" s="52"/>
      <c r="BO102" s="52"/>
      <c r="BP102" s="52"/>
      <c r="BQ102" s="52"/>
      <c r="BR102" s="52"/>
      <c r="BS102" s="52"/>
      <c r="BT102" s="52"/>
      <c r="BU102" s="52"/>
      <c r="BV102" s="52"/>
      <c r="BW102" s="52"/>
      <c r="BX102" s="52"/>
      <c r="BY102" s="52"/>
      <c r="BZ102" s="52"/>
      <c r="CA102" s="52"/>
      <c r="CB102" s="52"/>
      <c r="CC102" s="52"/>
      <c r="CD102" s="52"/>
      <c r="CE102" s="52"/>
      <c r="CF102" s="52"/>
      <c r="CG102" s="52"/>
      <c r="CH102" s="52"/>
      <c r="CI102" s="52"/>
      <c r="CJ102" s="52"/>
      <c r="CK102" s="52"/>
      <c r="CL102" s="52"/>
      <c r="CM102" s="52"/>
      <c r="CN102" s="52"/>
      <c r="CO102" s="52"/>
      <c r="CP102" s="52"/>
      <c r="CQ102" s="52"/>
      <c r="CR102" s="52"/>
      <c r="CS102" s="52"/>
      <c r="CT102" s="52"/>
      <c r="CU102" s="52"/>
      <c r="CV102" s="52"/>
      <c r="CW102" s="52"/>
      <c r="CX102" s="52"/>
      <c r="CY102" s="52"/>
      <c r="CZ102" s="52"/>
      <c r="DA102" s="52"/>
      <c r="DB102" s="52"/>
      <c r="DC102" s="52"/>
      <c r="DD102" s="52"/>
      <c r="DE102" s="52"/>
      <c r="DF102" s="52"/>
      <c r="DG102" s="52"/>
      <c r="DH102" s="52"/>
      <c r="DI102" s="52"/>
      <c r="DJ102" s="52"/>
      <c r="DK102" s="52"/>
      <c r="DL102" s="52"/>
      <c r="DM102" s="52"/>
      <c r="DN102" s="52"/>
      <c r="DO102" s="52"/>
      <c r="DP102" s="52"/>
      <c r="DQ102" s="52"/>
      <c r="DR102" s="52"/>
      <c r="DS102" s="52"/>
      <c r="DT102" s="52"/>
      <c r="DU102" s="52"/>
      <c r="DV102" s="52"/>
      <c r="DW102" s="52"/>
      <c r="DX102" s="52"/>
      <c r="DY102" s="52"/>
      <c r="DZ102" s="52"/>
      <c r="EA102" s="52"/>
      <c r="EB102" s="52"/>
      <c r="EC102" s="52"/>
      <c r="ED102" s="52"/>
      <c r="EE102" s="52"/>
      <c r="EF102" s="52"/>
      <c r="EG102" s="52"/>
      <c r="EH102" s="52"/>
      <c r="EI102" s="52"/>
      <c r="EJ102" s="52"/>
      <c r="EK102" s="52"/>
      <c r="EL102" s="52"/>
      <c r="EM102" s="52"/>
      <c r="EN102" s="52"/>
      <c r="EO102" s="52"/>
      <c r="EP102" s="52"/>
      <c r="EQ102" s="52"/>
      <c r="ER102" s="52"/>
      <c r="ES102" s="52"/>
      <c r="ET102" s="52"/>
      <c r="EU102" s="52"/>
      <c r="EV102" s="52"/>
      <c r="EW102" s="52"/>
      <c r="EX102" s="52"/>
      <c r="EY102" s="52"/>
      <c r="EZ102" s="52"/>
      <c r="FA102" s="52"/>
      <c r="FB102" s="52"/>
      <c r="FC102" s="52"/>
      <c r="FD102" s="52"/>
      <c r="FE102" s="52"/>
      <c r="FF102" s="52"/>
      <c r="FG102" s="52"/>
      <c r="FH102" s="52"/>
      <c r="FI102" s="52"/>
      <c r="FJ102" s="52"/>
      <c r="FK102" s="52"/>
      <c r="FL102" s="52"/>
      <c r="FM102" s="52"/>
      <c r="FN102" s="52"/>
      <c r="FO102" s="52"/>
      <c r="FP102" s="52"/>
      <c r="FQ102" s="52"/>
      <c r="FR102" s="52"/>
      <c r="FS102" s="52"/>
      <c r="FT102" s="52"/>
      <c r="FU102" s="52"/>
      <c r="FV102" s="52"/>
      <c r="FW102" s="52"/>
      <c r="FX102" s="52"/>
      <c r="FY102" s="52"/>
      <c r="FZ102" s="52"/>
      <c r="GA102" s="52"/>
      <c r="GB102" s="52"/>
      <c r="GC102" s="52"/>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2"/>
      <c r="HP102" s="52"/>
      <c r="HQ102" s="52"/>
      <c r="HR102" s="52"/>
      <c r="HS102" s="52"/>
      <c r="HT102" s="52"/>
      <c r="HU102" s="52"/>
      <c r="HV102" s="52"/>
      <c r="HW102" s="52"/>
      <c r="HX102" s="52"/>
      <c r="HY102" s="52"/>
      <c r="HZ102" s="52"/>
      <c r="IA102" s="52"/>
      <c r="IB102" s="52"/>
      <c r="IC102" s="52"/>
      <c r="ID102" s="52"/>
      <c r="IE102" s="52"/>
      <c r="IF102" s="52"/>
      <c r="IG102" s="52"/>
      <c r="IH102" s="52"/>
      <c r="II102" s="52"/>
      <c r="IJ102" s="52"/>
      <c r="IK102" s="52"/>
      <c r="IL102" s="52"/>
      <c r="IM102" s="52"/>
      <c r="IN102" s="52"/>
      <c r="IO102" s="52"/>
      <c r="IP102" s="52"/>
      <c r="IQ102" s="52"/>
      <c r="IR102" s="52"/>
      <c r="IS102" s="52"/>
      <c r="IT102" s="52"/>
      <c r="IU102" s="52"/>
      <c r="IV102" s="52"/>
      <c r="IW102" s="52"/>
      <c r="IX102" s="52"/>
      <c r="IY102" s="52"/>
      <c r="IZ102" s="52"/>
    </row>
    <row r="103" spans="1:260" x14ac:dyDescent="0.2">
      <c r="B103" s="59">
        <f t="shared" si="3"/>
        <v>94</v>
      </c>
      <c r="C103" s="73" t="s">
        <v>1039</v>
      </c>
      <c r="D103" s="60"/>
      <c r="E103" s="56"/>
      <c r="F103" s="61" t="s">
        <v>358</v>
      </c>
      <c r="G103" s="61" t="s">
        <v>73</v>
      </c>
      <c r="H103" s="61" t="s">
        <v>390</v>
      </c>
      <c r="I103" s="61" t="s">
        <v>72</v>
      </c>
      <c r="J103" s="62" t="s">
        <v>492</v>
      </c>
      <c r="K103" s="58"/>
      <c r="L103" s="61" t="s">
        <v>1056</v>
      </c>
      <c r="M103" s="61" t="s">
        <v>295</v>
      </c>
      <c r="N103" s="62" t="s">
        <v>1057</v>
      </c>
      <c r="O103" s="63" t="s">
        <v>920</v>
      </c>
      <c r="P103" s="64" t="s">
        <v>922</v>
      </c>
      <c r="Q103" s="61" t="s">
        <v>295</v>
      </c>
      <c r="R103" s="56"/>
      <c r="S103" s="64" t="s">
        <v>20</v>
      </c>
      <c r="T103" s="66">
        <v>46219</v>
      </c>
      <c r="U103" s="64"/>
      <c r="V103" s="56"/>
      <c r="W103" s="64" t="s">
        <v>425</v>
      </c>
      <c r="X103" s="56"/>
      <c r="Y103" s="64" t="s">
        <v>991</v>
      </c>
      <c r="Z103" s="64"/>
      <c r="AA103" s="64"/>
      <c r="AB103" s="64"/>
    </row>
    <row r="104" spans="1:260" x14ac:dyDescent="0.2">
      <c r="B104" s="59">
        <f t="shared" si="3"/>
        <v>95</v>
      </c>
      <c r="C104" s="73" t="s">
        <v>1025</v>
      </c>
      <c r="D104" s="60"/>
      <c r="E104" s="56"/>
      <c r="F104" s="61" t="s">
        <v>342</v>
      </c>
      <c r="G104" s="61" t="s">
        <v>73</v>
      </c>
      <c r="H104" s="61" t="s">
        <v>380</v>
      </c>
      <c r="I104" s="61" t="s">
        <v>85</v>
      </c>
      <c r="J104" s="61" t="s">
        <v>476</v>
      </c>
      <c r="K104" s="58"/>
      <c r="L104" s="61" t="s">
        <v>1087</v>
      </c>
      <c r="M104" s="61"/>
      <c r="N104" s="62" t="s">
        <v>1088</v>
      </c>
      <c r="O104" s="63" t="s">
        <v>505</v>
      </c>
      <c r="P104" s="64" t="s">
        <v>506</v>
      </c>
      <c r="Q104" s="64"/>
      <c r="R104" s="56"/>
      <c r="S104" s="64" t="s">
        <v>20</v>
      </c>
      <c r="T104" s="66">
        <v>46219</v>
      </c>
      <c r="U104" s="64"/>
      <c r="V104" s="56"/>
      <c r="W104" s="64" t="s">
        <v>408</v>
      </c>
      <c r="X104" s="56"/>
      <c r="Y104" s="64" t="s">
        <v>1030</v>
      </c>
      <c r="Z104" s="64"/>
      <c r="AA104" s="64"/>
      <c r="AB104" s="64"/>
    </row>
    <row r="105" spans="1:260" x14ac:dyDescent="0.2">
      <c r="B105" s="59">
        <f t="shared" si="3"/>
        <v>96</v>
      </c>
      <c r="C105" s="73"/>
      <c r="D105" s="60"/>
      <c r="E105" s="56"/>
      <c r="F105" s="61" t="s">
        <v>367</v>
      </c>
      <c r="G105" s="61" t="s">
        <v>70</v>
      </c>
      <c r="H105" s="61" t="s">
        <v>392</v>
      </c>
      <c r="I105" s="61" t="s">
        <v>72</v>
      </c>
      <c r="J105" s="62" t="s">
        <v>502</v>
      </c>
      <c r="K105" s="58"/>
      <c r="L105" s="61" t="s">
        <v>968</v>
      </c>
      <c r="M105" s="61" t="s">
        <v>141</v>
      </c>
      <c r="N105" s="61" t="s">
        <v>969</v>
      </c>
      <c r="O105" s="63" t="s">
        <v>924</v>
      </c>
      <c r="P105" s="64" t="s">
        <v>925</v>
      </c>
      <c r="Q105" s="64" t="s">
        <v>970</v>
      </c>
      <c r="R105" s="56"/>
      <c r="S105" s="64" t="s">
        <v>20</v>
      </c>
      <c r="T105" s="66">
        <v>46211</v>
      </c>
      <c r="U105" s="64" t="s">
        <v>717</v>
      </c>
      <c r="V105" s="56"/>
      <c r="W105" s="64" t="s">
        <v>435</v>
      </c>
      <c r="X105" s="56"/>
      <c r="Y105" s="64" t="s">
        <v>991</v>
      </c>
      <c r="Z105" s="64"/>
      <c r="AA105" s="64"/>
      <c r="AB105" s="64"/>
    </row>
    <row r="106" spans="1:260" x14ac:dyDescent="0.2">
      <c r="B106" s="59">
        <f t="shared" si="3"/>
        <v>97</v>
      </c>
      <c r="C106" s="73" t="s">
        <v>1039</v>
      </c>
      <c r="D106" s="60"/>
      <c r="E106" s="56"/>
      <c r="F106" s="61" t="s">
        <v>368</v>
      </c>
      <c r="G106" s="61" t="s">
        <v>70</v>
      </c>
      <c r="H106" s="61" t="s">
        <v>395</v>
      </c>
      <c r="I106" s="61" t="s">
        <v>72</v>
      </c>
      <c r="J106" s="62" t="s">
        <v>503</v>
      </c>
      <c r="K106" s="58"/>
      <c r="L106" s="61" t="s">
        <v>295</v>
      </c>
      <c r="M106" s="61" t="s">
        <v>295</v>
      </c>
      <c r="N106" s="61"/>
      <c r="O106" s="63" t="s">
        <v>921</v>
      </c>
      <c r="P106" s="64" t="s">
        <v>923</v>
      </c>
      <c r="Q106" s="61" t="s">
        <v>295</v>
      </c>
      <c r="R106" s="56"/>
      <c r="S106" s="64" t="s">
        <v>1001</v>
      </c>
      <c r="T106" s="66">
        <v>46216</v>
      </c>
      <c r="U106" s="64" t="s">
        <v>972</v>
      </c>
      <c r="V106" s="56"/>
      <c r="W106" s="64" t="s">
        <v>436</v>
      </c>
      <c r="X106" s="56"/>
      <c r="Y106" s="64" t="s">
        <v>1068</v>
      </c>
      <c r="Z106" s="64" t="s">
        <v>1123</v>
      </c>
      <c r="AA106" s="64" t="s">
        <v>295</v>
      </c>
      <c r="AB106" s="64" t="s">
        <v>295</v>
      </c>
    </row>
    <row r="107" spans="1:260" x14ac:dyDescent="0.2">
      <c r="B107" s="59">
        <f t="shared" si="3"/>
        <v>98</v>
      </c>
      <c r="C107" s="73" t="s">
        <v>1025</v>
      </c>
      <c r="D107" s="60"/>
      <c r="E107" s="56"/>
      <c r="F107" s="61" t="s">
        <v>332</v>
      </c>
      <c r="G107" s="61" t="s">
        <v>70</v>
      </c>
      <c r="H107" s="61" t="s">
        <v>371</v>
      </c>
      <c r="I107" s="61" t="s">
        <v>72</v>
      </c>
      <c r="J107" s="62" t="s">
        <v>466</v>
      </c>
      <c r="K107" s="58"/>
      <c r="L107" s="61" t="s">
        <v>1082</v>
      </c>
      <c r="M107" s="61"/>
      <c r="N107" s="62" t="s">
        <v>1083</v>
      </c>
      <c r="O107" s="63" t="s">
        <v>816</v>
      </c>
      <c r="P107" s="64"/>
      <c r="Q107" s="64" t="s">
        <v>450</v>
      </c>
      <c r="R107" s="56"/>
      <c r="S107" s="64" t="s">
        <v>247</v>
      </c>
      <c r="T107" s="66"/>
      <c r="U107" s="64"/>
      <c r="V107" s="56"/>
      <c r="W107" s="64" t="s">
        <v>398</v>
      </c>
      <c r="X107" s="56"/>
      <c r="Y107" s="64" t="s">
        <v>1030</v>
      </c>
      <c r="Z107" s="64"/>
      <c r="AA107" s="64"/>
      <c r="AB107" s="64"/>
    </row>
    <row r="108" spans="1:260" x14ac:dyDescent="0.2">
      <c r="B108" s="59">
        <f t="shared" si="3"/>
        <v>99</v>
      </c>
      <c r="C108" s="73"/>
      <c r="D108" s="59"/>
      <c r="E108" s="56"/>
      <c r="F108" s="61" t="s">
        <v>507</v>
      </c>
      <c r="G108" s="61" t="s">
        <v>70</v>
      </c>
      <c r="H108" s="61" t="s">
        <v>533</v>
      </c>
      <c r="I108" s="61" t="s">
        <v>72</v>
      </c>
      <c r="J108" s="62" t="s">
        <v>559</v>
      </c>
      <c r="K108" s="58"/>
      <c r="L108" s="61" t="s">
        <v>585</v>
      </c>
      <c r="M108" s="61" t="s">
        <v>596</v>
      </c>
      <c r="N108" s="61" t="s">
        <v>608</v>
      </c>
      <c r="O108" s="63" t="s">
        <v>903</v>
      </c>
      <c r="P108" s="64" t="s">
        <v>904</v>
      </c>
      <c r="Q108" s="65" t="s">
        <v>907</v>
      </c>
      <c r="R108" s="56"/>
      <c r="S108" s="64" t="s">
        <v>1015</v>
      </c>
      <c r="T108" s="66">
        <v>46211</v>
      </c>
      <c r="U108" s="64" t="s">
        <v>717</v>
      </c>
      <c r="V108" s="56"/>
      <c r="W108" s="64" t="s">
        <v>630</v>
      </c>
      <c r="X108" s="56"/>
      <c r="Y108" s="64" t="s">
        <v>991</v>
      </c>
      <c r="Z108" s="64"/>
      <c r="AA108" s="64"/>
      <c r="AB108" s="64"/>
    </row>
    <row r="109" spans="1:260" x14ac:dyDescent="0.2">
      <c r="B109" s="59">
        <f t="shared" si="3"/>
        <v>100</v>
      </c>
      <c r="C109" s="73"/>
      <c r="D109" s="59"/>
      <c r="E109" s="56"/>
      <c r="F109" s="61" t="s">
        <v>508</v>
      </c>
      <c r="G109" s="61" t="s">
        <v>70</v>
      </c>
      <c r="H109" s="61" t="s">
        <v>534</v>
      </c>
      <c r="I109" s="61" t="s">
        <v>75</v>
      </c>
      <c r="J109" s="62" t="s">
        <v>560</v>
      </c>
      <c r="K109" s="58"/>
      <c r="L109" s="61" t="s">
        <v>586</v>
      </c>
      <c r="M109" s="61" t="s">
        <v>597</v>
      </c>
      <c r="N109" s="61" t="s">
        <v>609</v>
      </c>
      <c r="O109" s="63" t="s">
        <v>896</v>
      </c>
      <c r="P109" s="64" t="s">
        <v>898</v>
      </c>
      <c r="Q109" s="62" t="s">
        <v>899</v>
      </c>
      <c r="R109" s="56"/>
      <c r="S109" s="64" t="s">
        <v>20</v>
      </c>
      <c r="T109" s="66">
        <v>46211</v>
      </c>
      <c r="U109" s="64" t="s">
        <v>717</v>
      </c>
      <c r="V109" s="56"/>
      <c r="W109" s="64" t="s">
        <v>631</v>
      </c>
      <c r="X109" s="56"/>
      <c r="Y109" s="64" t="s">
        <v>991</v>
      </c>
      <c r="Z109" s="64"/>
      <c r="AA109" s="64"/>
      <c r="AB109" s="64"/>
    </row>
    <row r="110" spans="1:260" x14ac:dyDescent="0.2">
      <c r="B110" s="59">
        <f t="shared" ref="B110:B135" si="4">+B109+1</f>
        <v>101</v>
      </c>
      <c r="C110" s="73" t="s">
        <v>1025</v>
      </c>
      <c r="D110" s="60">
        <v>0</v>
      </c>
      <c r="E110" s="96"/>
      <c r="F110" s="61" t="s">
        <v>63</v>
      </c>
      <c r="G110" s="61" t="s">
        <v>73</v>
      </c>
      <c r="H110" s="61" t="s">
        <v>97</v>
      </c>
      <c r="I110" s="61" t="s">
        <v>85</v>
      </c>
      <c r="J110" s="62" t="s">
        <v>241</v>
      </c>
      <c r="K110" s="97"/>
      <c r="L110" s="61" t="s">
        <v>1097</v>
      </c>
      <c r="M110" s="61" t="s">
        <v>295</v>
      </c>
      <c r="N110" s="62" t="s">
        <v>1095</v>
      </c>
      <c r="O110" s="63" t="s">
        <v>733</v>
      </c>
      <c r="P110" s="64" t="s">
        <v>784</v>
      </c>
      <c r="Q110" s="64" t="s">
        <v>160</v>
      </c>
      <c r="R110" s="96"/>
      <c r="S110" s="64" t="s">
        <v>20</v>
      </c>
      <c r="T110" s="66">
        <v>46219</v>
      </c>
      <c r="U110" s="64"/>
      <c r="V110" s="96"/>
      <c r="W110" s="64" t="s">
        <v>201</v>
      </c>
      <c r="X110" s="96"/>
      <c r="Y110" s="64" t="s">
        <v>1096</v>
      </c>
      <c r="Z110" s="64"/>
      <c r="AA110" s="64"/>
      <c r="AB110" s="64"/>
    </row>
    <row r="111" spans="1:260" x14ac:dyDescent="0.2">
      <c r="B111" s="59">
        <f t="shared" si="4"/>
        <v>102</v>
      </c>
      <c r="C111" s="73" t="s">
        <v>1039</v>
      </c>
      <c r="D111" s="59"/>
      <c r="E111" s="56"/>
      <c r="F111" s="61" t="s">
        <v>510</v>
      </c>
      <c r="G111" s="61" t="s">
        <v>70</v>
      </c>
      <c r="H111" s="61" t="s">
        <v>536</v>
      </c>
      <c r="I111" s="61" t="s">
        <v>77</v>
      </c>
      <c r="J111" s="62" t="s">
        <v>562</v>
      </c>
      <c r="K111" s="58"/>
      <c r="L111" s="61" t="s">
        <v>295</v>
      </c>
      <c r="M111" s="61" t="s">
        <v>295</v>
      </c>
      <c r="N111" s="61"/>
      <c r="O111" s="63" t="s">
        <v>889</v>
      </c>
      <c r="P111" s="64" t="s">
        <v>891</v>
      </c>
      <c r="Q111" s="61" t="s">
        <v>295</v>
      </c>
      <c r="R111" s="56"/>
      <c r="S111" s="64" t="s">
        <v>1001</v>
      </c>
      <c r="T111" s="66">
        <v>46216</v>
      </c>
      <c r="U111" s="64" t="s">
        <v>972</v>
      </c>
      <c r="V111" s="56"/>
      <c r="W111" s="64" t="s">
        <v>633</v>
      </c>
      <c r="X111" s="56"/>
      <c r="Y111" s="64" t="s">
        <v>1068</v>
      </c>
      <c r="Z111" s="64" t="s">
        <v>1123</v>
      </c>
      <c r="AA111" s="64" t="s">
        <v>295</v>
      </c>
      <c r="AB111" s="64" t="s">
        <v>295</v>
      </c>
    </row>
    <row r="112" spans="1:260" s="92" customFormat="1" x14ac:dyDescent="0.2">
      <c r="A112" s="51"/>
      <c r="B112" s="59">
        <f t="shared" si="4"/>
        <v>103</v>
      </c>
      <c r="C112" s="73" t="s">
        <v>1039</v>
      </c>
      <c r="D112" s="59"/>
      <c r="E112" s="96"/>
      <c r="F112" s="61" t="s">
        <v>511</v>
      </c>
      <c r="G112" s="61" t="s">
        <v>73</v>
      </c>
      <c r="H112" s="61" t="s">
        <v>537</v>
      </c>
      <c r="I112" s="61" t="s">
        <v>72</v>
      </c>
      <c r="J112" s="62" t="s">
        <v>563</v>
      </c>
      <c r="K112" s="97"/>
      <c r="L112" s="61" t="s">
        <v>295</v>
      </c>
      <c r="M112" s="61" t="s">
        <v>295</v>
      </c>
      <c r="N112" s="61"/>
      <c r="O112" s="63" t="s">
        <v>611</v>
      </c>
      <c r="P112" s="64" t="s">
        <v>885</v>
      </c>
      <c r="Q112" s="62" t="s">
        <v>887</v>
      </c>
      <c r="R112" s="96"/>
      <c r="S112" s="64" t="s">
        <v>1094</v>
      </c>
      <c r="T112" s="66"/>
      <c r="U112" s="64"/>
      <c r="V112" s="96"/>
      <c r="W112" s="64" t="s">
        <v>634</v>
      </c>
      <c r="X112" s="96"/>
      <c r="Y112" s="64" t="s">
        <v>983</v>
      </c>
      <c r="Z112" s="64"/>
      <c r="AA112" s="64"/>
      <c r="AB112" s="64"/>
      <c r="BI112" s="52"/>
      <c r="BJ112" s="52"/>
      <c r="BK112" s="52"/>
      <c r="BL112" s="52"/>
      <c r="BM112" s="52"/>
      <c r="BN112" s="52"/>
      <c r="BO112" s="52"/>
      <c r="BP112" s="52"/>
      <c r="BQ112" s="52"/>
      <c r="BR112" s="52"/>
      <c r="BS112" s="52"/>
      <c r="BT112" s="52"/>
      <c r="BU112" s="52"/>
      <c r="BV112" s="52"/>
      <c r="BW112" s="52"/>
      <c r="BX112" s="52"/>
      <c r="BY112" s="52"/>
      <c r="BZ112" s="52"/>
      <c r="CA112" s="52"/>
      <c r="CB112" s="52"/>
      <c r="CC112" s="52"/>
      <c r="CD112" s="52"/>
      <c r="CE112" s="52"/>
      <c r="CF112" s="52"/>
      <c r="CG112" s="52"/>
      <c r="CH112" s="52"/>
      <c r="CI112" s="52"/>
      <c r="CJ112" s="52"/>
      <c r="CK112" s="52"/>
      <c r="CL112" s="52"/>
      <c r="CM112" s="52"/>
      <c r="CN112" s="52"/>
      <c r="CO112" s="52"/>
      <c r="CP112" s="52"/>
      <c r="CQ112" s="52"/>
      <c r="CR112" s="52"/>
      <c r="CS112" s="52"/>
      <c r="CT112" s="52"/>
      <c r="CU112" s="52"/>
      <c r="CV112" s="52"/>
      <c r="CW112" s="52"/>
      <c r="CX112" s="52"/>
      <c r="CY112" s="52"/>
      <c r="CZ112" s="52"/>
      <c r="DA112" s="52"/>
      <c r="DB112" s="52"/>
      <c r="DC112" s="52"/>
      <c r="DD112" s="52"/>
      <c r="DE112" s="52"/>
      <c r="DF112" s="52"/>
      <c r="DG112" s="52"/>
      <c r="DH112" s="52"/>
      <c r="DI112" s="52"/>
      <c r="DJ112" s="52"/>
      <c r="DK112" s="52"/>
      <c r="DL112" s="52"/>
      <c r="DM112" s="52"/>
      <c r="DN112" s="52"/>
      <c r="DO112" s="52"/>
      <c r="DP112" s="52"/>
      <c r="DQ112" s="52"/>
      <c r="DR112" s="52"/>
      <c r="DS112" s="52"/>
      <c r="DT112" s="52"/>
      <c r="DU112" s="52"/>
      <c r="DV112" s="52"/>
      <c r="DW112" s="52"/>
      <c r="DX112" s="52"/>
      <c r="DY112" s="52"/>
      <c r="DZ112" s="52"/>
      <c r="EA112" s="52"/>
      <c r="EB112" s="52"/>
      <c r="EC112" s="52"/>
      <c r="ED112" s="52"/>
      <c r="EE112" s="52"/>
      <c r="EF112" s="52"/>
      <c r="EG112" s="52"/>
      <c r="EH112" s="52"/>
      <c r="EI112" s="52"/>
      <c r="EJ112" s="52"/>
      <c r="EK112" s="52"/>
      <c r="EL112" s="52"/>
      <c r="EM112" s="52"/>
      <c r="EN112" s="52"/>
      <c r="EO112" s="52"/>
      <c r="EP112" s="52"/>
      <c r="EQ112" s="52"/>
      <c r="ER112" s="52"/>
      <c r="ES112" s="52"/>
      <c r="ET112" s="52"/>
      <c r="EU112" s="52"/>
      <c r="EV112" s="52"/>
      <c r="EW112" s="52"/>
      <c r="EX112" s="52"/>
      <c r="EY112" s="52"/>
      <c r="EZ112" s="52"/>
      <c r="FA112" s="52"/>
      <c r="FB112" s="52"/>
      <c r="FC112" s="52"/>
      <c r="FD112" s="52"/>
      <c r="FE112" s="52"/>
      <c r="FF112" s="52"/>
      <c r="FG112" s="52"/>
      <c r="FH112" s="52"/>
      <c r="FI112" s="52"/>
      <c r="FJ112" s="52"/>
      <c r="FK112" s="52"/>
      <c r="FL112" s="52"/>
      <c r="FM112" s="52"/>
      <c r="FN112" s="52"/>
      <c r="FO112" s="52"/>
      <c r="FP112" s="52"/>
      <c r="FQ112" s="52"/>
      <c r="FR112" s="52"/>
      <c r="FS112" s="52"/>
      <c r="FT112" s="52"/>
      <c r="FU112" s="52"/>
      <c r="FV112" s="52"/>
      <c r="FW112" s="52"/>
      <c r="FX112" s="52"/>
      <c r="FY112" s="52"/>
      <c r="FZ112" s="52"/>
      <c r="GA112" s="52"/>
      <c r="GB112" s="52"/>
      <c r="GC112" s="52"/>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2"/>
      <c r="HP112" s="52"/>
      <c r="HQ112" s="52"/>
      <c r="HR112" s="52"/>
      <c r="HS112" s="52"/>
      <c r="HT112" s="52"/>
      <c r="HU112" s="52"/>
      <c r="HV112" s="52"/>
      <c r="HW112" s="52"/>
      <c r="HX112" s="52"/>
      <c r="HY112" s="52"/>
      <c r="HZ112" s="52"/>
      <c r="IA112" s="52"/>
      <c r="IB112" s="52"/>
      <c r="IC112" s="52"/>
      <c r="ID112" s="52"/>
      <c r="IE112" s="52"/>
      <c r="IF112" s="52"/>
      <c r="IG112" s="52"/>
      <c r="IH112" s="52"/>
      <c r="II112" s="52"/>
      <c r="IJ112" s="52"/>
      <c r="IK112" s="52"/>
      <c r="IL112" s="52"/>
      <c r="IM112" s="52"/>
      <c r="IN112" s="52"/>
      <c r="IO112" s="52"/>
      <c r="IP112" s="52"/>
      <c r="IQ112" s="52"/>
      <c r="IR112" s="52"/>
      <c r="IS112" s="52"/>
      <c r="IT112" s="52"/>
      <c r="IU112" s="52"/>
      <c r="IV112" s="52"/>
      <c r="IW112" s="52"/>
      <c r="IX112" s="52"/>
      <c r="IY112" s="52"/>
      <c r="IZ112" s="52"/>
    </row>
    <row r="113" spans="1:260" x14ac:dyDescent="0.2">
      <c r="B113" s="59">
        <f t="shared" si="4"/>
        <v>104</v>
      </c>
      <c r="C113" s="73" t="s">
        <v>1039</v>
      </c>
      <c r="D113" s="59"/>
      <c r="E113" s="56"/>
      <c r="F113" s="61" t="s">
        <v>512</v>
      </c>
      <c r="G113" s="61" t="s">
        <v>70</v>
      </c>
      <c r="H113" s="61" t="s">
        <v>538</v>
      </c>
      <c r="I113" s="61" t="s">
        <v>77</v>
      </c>
      <c r="J113" s="62" t="s">
        <v>564</v>
      </c>
      <c r="K113" s="58"/>
      <c r="L113" s="61" t="s">
        <v>295</v>
      </c>
      <c r="M113" s="61" t="s">
        <v>295</v>
      </c>
      <c r="N113" s="61"/>
      <c r="O113" s="63" t="s">
        <v>883</v>
      </c>
      <c r="P113" s="64" t="s">
        <v>612</v>
      </c>
      <c r="Q113" s="61" t="s">
        <v>295</v>
      </c>
      <c r="R113" s="56"/>
      <c r="S113" s="64" t="s">
        <v>1001</v>
      </c>
      <c r="T113" s="66">
        <v>46216</v>
      </c>
      <c r="U113" s="64" t="s">
        <v>972</v>
      </c>
      <c r="V113" s="56"/>
      <c r="W113" s="64" t="s">
        <v>635</v>
      </c>
      <c r="X113" s="56"/>
      <c r="Y113" s="64" t="s">
        <v>1038</v>
      </c>
      <c r="Z113" s="64" t="s">
        <v>1123</v>
      </c>
      <c r="AA113" s="64" t="s">
        <v>295</v>
      </c>
      <c r="AB113" s="64" t="s">
        <v>295</v>
      </c>
    </row>
    <row r="114" spans="1:260" x14ac:dyDescent="0.2">
      <c r="B114" s="59">
        <f t="shared" si="4"/>
        <v>105</v>
      </c>
      <c r="C114" s="73" t="s">
        <v>1039</v>
      </c>
      <c r="D114" s="60"/>
      <c r="E114" s="56"/>
      <c r="F114" s="61" t="s">
        <v>365</v>
      </c>
      <c r="G114" s="61" t="s">
        <v>70</v>
      </c>
      <c r="H114" s="61" t="s">
        <v>394</v>
      </c>
      <c r="I114" s="61" t="s">
        <v>72</v>
      </c>
      <c r="J114" s="62" t="s">
        <v>500</v>
      </c>
      <c r="K114" s="58"/>
      <c r="L114" s="61" t="s">
        <v>1065</v>
      </c>
      <c r="M114" s="61" t="s">
        <v>295</v>
      </c>
      <c r="N114" s="62" t="s">
        <v>1066</v>
      </c>
      <c r="O114" s="63" t="s">
        <v>934</v>
      </c>
      <c r="P114" s="64" t="s">
        <v>933</v>
      </c>
      <c r="Q114" s="61" t="s">
        <v>295</v>
      </c>
      <c r="R114" s="56"/>
      <c r="S114" s="64" t="s">
        <v>20</v>
      </c>
      <c r="T114" s="66">
        <v>46219</v>
      </c>
      <c r="U114" s="64"/>
      <c r="V114" s="56"/>
      <c r="W114" s="64" t="s">
        <v>433</v>
      </c>
      <c r="X114" s="56"/>
      <c r="Y114" s="64" t="s">
        <v>991</v>
      </c>
      <c r="Z114" s="64"/>
      <c r="AA114" s="64"/>
      <c r="AB114" s="64"/>
    </row>
    <row r="115" spans="1:260" x14ac:dyDescent="0.2">
      <c r="B115" s="59">
        <f t="shared" si="4"/>
        <v>106</v>
      </c>
      <c r="C115" s="73"/>
      <c r="D115" s="59"/>
      <c r="E115" s="56"/>
      <c r="F115" s="61" t="s">
        <v>514</v>
      </c>
      <c r="G115" s="61" t="s">
        <v>73</v>
      </c>
      <c r="H115" s="61" t="s">
        <v>540</v>
      </c>
      <c r="I115" s="61" t="s">
        <v>77</v>
      </c>
      <c r="J115" s="62" t="s">
        <v>566</v>
      </c>
      <c r="K115" s="58"/>
      <c r="L115" s="61" t="s">
        <v>587</v>
      </c>
      <c r="M115" s="61" t="s">
        <v>598</v>
      </c>
      <c r="N115" s="61" t="s">
        <v>614</v>
      </c>
      <c r="O115" s="63" t="s">
        <v>872</v>
      </c>
      <c r="P115" s="64" t="s">
        <v>875</v>
      </c>
      <c r="Q115" s="61" t="s">
        <v>295</v>
      </c>
      <c r="R115" s="56"/>
      <c r="S115" s="64" t="s">
        <v>20</v>
      </c>
      <c r="T115" s="66">
        <v>46211</v>
      </c>
      <c r="U115" s="64" t="s">
        <v>717</v>
      </c>
      <c r="V115" s="56"/>
      <c r="W115" s="64" t="s">
        <v>637</v>
      </c>
      <c r="X115" s="56"/>
      <c r="Y115" s="64" t="s">
        <v>991</v>
      </c>
      <c r="Z115" s="64"/>
      <c r="AA115" s="64"/>
      <c r="AB115" s="64"/>
    </row>
    <row r="116" spans="1:260" x14ac:dyDescent="0.2">
      <c r="B116" s="59">
        <f t="shared" si="4"/>
        <v>107</v>
      </c>
      <c r="C116" s="73"/>
      <c r="D116" s="59"/>
      <c r="E116" s="56"/>
      <c r="F116" s="61" t="s">
        <v>515</v>
      </c>
      <c r="G116" s="61" t="s">
        <v>70</v>
      </c>
      <c r="H116" s="61" t="s">
        <v>541</v>
      </c>
      <c r="I116" s="61" t="s">
        <v>77</v>
      </c>
      <c r="J116" s="62" t="s">
        <v>567</v>
      </c>
      <c r="K116" s="58"/>
      <c r="L116" s="61" t="s">
        <v>588</v>
      </c>
      <c r="M116" s="61" t="s">
        <v>141</v>
      </c>
      <c r="N116" s="61" t="s">
        <v>615</v>
      </c>
      <c r="O116" s="63" t="s">
        <v>869</v>
      </c>
      <c r="P116" s="64" t="s">
        <v>866</v>
      </c>
      <c r="Q116" s="65" t="s">
        <v>868</v>
      </c>
      <c r="R116" s="56"/>
      <c r="S116" s="64" t="s">
        <v>20</v>
      </c>
      <c r="T116" s="66">
        <v>46211</v>
      </c>
      <c r="U116" s="64" t="s">
        <v>717</v>
      </c>
      <c r="V116" s="56"/>
      <c r="W116" s="64" t="s">
        <v>638</v>
      </c>
      <c r="X116" s="56"/>
      <c r="Y116" s="64" t="s">
        <v>991</v>
      </c>
      <c r="Z116" s="64"/>
      <c r="AA116" s="64"/>
      <c r="AB116" s="64"/>
    </row>
    <row r="117" spans="1:260" x14ac:dyDescent="0.2">
      <c r="B117" s="59">
        <f t="shared" si="4"/>
        <v>108</v>
      </c>
      <c r="C117" s="73" t="s">
        <v>1025</v>
      </c>
      <c r="D117" s="60">
        <v>0</v>
      </c>
      <c r="E117" s="56"/>
      <c r="F117" s="61" t="s">
        <v>64</v>
      </c>
      <c r="G117" s="61" t="s">
        <v>70</v>
      </c>
      <c r="H117" s="61" t="s">
        <v>104</v>
      </c>
      <c r="I117" s="61" t="s">
        <v>75</v>
      </c>
      <c r="J117" s="62" t="s">
        <v>242</v>
      </c>
      <c r="K117" s="58"/>
      <c r="L117" s="61" t="s">
        <v>1031</v>
      </c>
      <c r="M117" s="61"/>
      <c r="N117" s="62" t="s">
        <v>1032</v>
      </c>
      <c r="O117" s="68" t="s">
        <v>961</v>
      </c>
      <c r="P117" s="64" t="s">
        <v>785</v>
      </c>
      <c r="Q117" s="61"/>
      <c r="R117" s="56"/>
      <c r="S117" s="64" t="s">
        <v>20</v>
      </c>
      <c r="T117" s="66">
        <v>46219</v>
      </c>
      <c r="U117" s="64"/>
      <c r="V117" s="56"/>
      <c r="W117" s="64" t="s">
        <v>202</v>
      </c>
      <c r="X117" s="56"/>
      <c r="Y117" s="64" t="s">
        <v>1030</v>
      </c>
      <c r="Z117" s="64"/>
      <c r="AA117" s="64"/>
      <c r="AB117" s="64"/>
    </row>
    <row r="118" spans="1:260" s="92" customFormat="1" x14ac:dyDescent="0.2">
      <c r="A118" s="51"/>
      <c r="B118" s="59">
        <f t="shared" si="4"/>
        <v>109</v>
      </c>
      <c r="C118" s="73" t="s">
        <v>1039</v>
      </c>
      <c r="D118" s="59"/>
      <c r="E118" s="96"/>
      <c r="F118" s="61" t="s">
        <v>517</v>
      </c>
      <c r="G118" s="61" t="s">
        <v>70</v>
      </c>
      <c r="H118" s="61" t="s">
        <v>542</v>
      </c>
      <c r="I118" s="61" t="s">
        <v>72</v>
      </c>
      <c r="J118" s="62" t="s">
        <v>569</v>
      </c>
      <c r="K118" s="97"/>
      <c r="L118" s="61" t="s">
        <v>589</v>
      </c>
      <c r="M118" s="61" t="s">
        <v>141</v>
      </c>
      <c r="N118" s="61"/>
      <c r="O118" s="63" t="s">
        <v>865</v>
      </c>
      <c r="P118" s="64" t="s">
        <v>864</v>
      </c>
      <c r="Q118" s="64" t="s">
        <v>617</v>
      </c>
      <c r="R118" s="96"/>
      <c r="S118" s="64" t="s">
        <v>1094</v>
      </c>
      <c r="T118" s="66"/>
      <c r="U118" s="64"/>
      <c r="V118" s="96"/>
      <c r="W118" s="64" t="s">
        <v>640</v>
      </c>
      <c r="X118" s="96"/>
      <c r="Y118" s="64" t="s">
        <v>983</v>
      </c>
      <c r="Z118" s="64"/>
      <c r="AA118" s="64"/>
      <c r="AB118" s="64"/>
      <c r="BI118" s="52"/>
      <c r="BJ118" s="52"/>
      <c r="BK118" s="52"/>
      <c r="BL118" s="52"/>
      <c r="BM118" s="52"/>
      <c r="BN118" s="52"/>
      <c r="BO118" s="52"/>
      <c r="BP118" s="52"/>
      <c r="BQ118" s="52"/>
      <c r="BR118" s="52"/>
      <c r="BS118" s="52"/>
      <c r="BT118" s="52"/>
      <c r="BU118" s="52"/>
      <c r="BV118" s="52"/>
      <c r="BW118" s="52"/>
      <c r="BX118" s="52"/>
      <c r="BY118" s="52"/>
      <c r="BZ118" s="52"/>
      <c r="CA118" s="52"/>
      <c r="CB118" s="52"/>
      <c r="CC118" s="52"/>
      <c r="CD118" s="52"/>
      <c r="CE118" s="52"/>
      <c r="CF118" s="52"/>
      <c r="CG118" s="52"/>
      <c r="CH118" s="52"/>
      <c r="CI118" s="52"/>
      <c r="CJ118" s="52"/>
      <c r="CK118" s="52"/>
      <c r="CL118" s="52"/>
      <c r="CM118" s="52"/>
      <c r="CN118" s="52"/>
      <c r="CO118" s="52"/>
      <c r="CP118" s="52"/>
      <c r="CQ118" s="52"/>
      <c r="CR118" s="52"/>
      <c r="CS118" s="52"/>
      <c r="CT118" s="52"/>
      <c r="CU118" s="52"/>
      <c r="CV118" s="52"/>
      <c r="CW118" s="52"/>
      <c r="CX118" s="52"/>
      <c r="CY118" s="52"/>
      <c r="CZ118" s="52"/>
      <c r="DA118" s="52"/>
      <c r="DB118" s="52"/>
      <c r="DC118" s="52"/>
      <c r="DD118" s="52"/>
      <c r="DE118" s="52"/>
      <c r="DF118" s="52"/>
      <c r="DG118" s="52"/>
      <c r="DH118" s="52"/>
      <c r="DI118" s="52"/>
      <c r="DJ118" s="52"/>
      <c r="DK118" s="52"/>
      <c r="DL118" s="52"/>
      <c r="DM118" s="52"/>
      <c r="DN118" s="52"/>
      <c r="DO118" s="52"/>
      <c r="DP118" s="52"/>
      <c r="DQ118" s="52"/>
      <c r="DR118" s="52"/>
      <c r="DS118" s="52"/>
      <c r="DT118" s="52"/>
      <c r="DU118" s="52"/>
      <c r="DV118" s="52"/>
      <c r="DW118" s="52"/>
      <c r="DX118" s="52"/>
      <c r="DY118" s="52"/>
      <c r="DZ118" s="52"/>
      <c r="EA118" s="52"/>
      <c r="EB118" s="52"/>
      <c r="EC118" s="52"/>
      <c r="ED118" s="52"/>
      <c r="EE118" s="52"/>
      <c r="EF118" s="52"/>
      <c r="EG118" s="52"/>
      <c r="EH118" s="52"/>
      <c r="EI118" s="52"/>
      <c r="EJ118" s="52"/>
      <c r="EK118" s="52"/>
      <c r="EL118" s="52"/>
      <c r="EM118" s="52"/>
      <c r="EN118" s="52"/>
      <c r="EO118" s="52"/>
      <c r="EP118" s="52"/>
      <c r="EQ118" s="52"/>
      <c r="ER118" s="52"/>
      <c r="ES118" s="52"/>
      <c r="ET118" s="52"/>
      <c r="EU118" s="52"/>
      <c r="EV118" s="52"/>
      <c r="EW118" s="52"/>
      <c r="EX118" s="52"/>
      <c r="EY118" s="52"/>
      <c r="EZ118" s="52"/>
      <c r="FA118" s="52"/>
      <c r="FB118" s="52"/>
      <c r="FC118" s="52"/>
      <c r="FD118" s="52"/>
      <c r="FE118" s="52"/>
      <c r="FF118" s="52"/>
      <c r="FG118" s="52"/>
      <c r="FH118" s="52"/>
      <c r="FI118" s="52"/>
      <c r="FJ118" s="52"/>
      <c r="FK118" s="52"/>
      <c r="FL118" s="52"/>
      <c r="FM118" s="52"/>
      <c r="FN118" s="52"/>
      <c r="FO118" s="52"/>
      <c r="FP118" s="52"/>
      <c r="FQ118" s="52"/>
      <c r="FR118" s="52"/>
      <c r="FS118" s="52"/>
      <c r="FT118" s="52"/>
      <c r="FU118" s="52"/>
      <c r="FV118" s="52"/>
      <c r="FW118" s="52"/>
      <c r="FX118" s="52"/>
      <c r="FY118" s="52"/>
      <c r="FZ118" s="52"/>
      <c r="GA118" s="52"/>
      <c r="GB118" s="52"/>
      <c r="GC118" s="52"/>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2"/>
      <c r="HP118" s="52"/>
      <c r="HQ118" s="52"/>
      <c r="HR118" s="52"/>
      <c r="HS118" s="52"/>
      <c r="HT118" s="52"/>
      <c r="HU118" s="52"/>
      <c r="HV118" s="52"/>
      <c r="HW118" s="52"/>
      <c r="HX118" s="52"/>
      <c r="HY118" s="52"/>
      <c r="HZ118" s="52"/>
      <c r="IA118" s="52"/>
      <c r="IB118" s="52"/>
      <c r="IC118" s="52"/>
      <c r="ID118" s="52"/>
      <c r="IE118" s="52"/>
      <c r="IF118" s="52"/>
      <c r="IG118" s="52"/>
      <c r="IH118" s="52"/>
      <c r="II118" s="52"/>
      <c r="IJ118" s="52"/>
      <c r="IK118" s="52"/>
      <c r="IL118" s="52"/>
      <c r="IM118" s="52"/>
      <c r="IN118" s="52"/>
      <c r="IO118" s="52"/>
      <c r="IP118" s="52"/>
      <c r="IQ118" s="52"/>
      <c r="IR118" s="52"/>
      <c r="IS118" s="52"/>
      <c r="IT118" s="52"/>
      <c r="IU118" s="52"/>
      <c r="IV118" s="52"/>
      <c r="IW118" s="52"/>
      <c r="IX118" s="52"/>
      <c r="IY118" s="52"/>
      <c r="IZ118" s="52"/>
    </row>
    <row r="119" spans="1:260" s="92" customFormat="1" x14ac:dyDescent="0.2">
      <c r="A119" s="51"/>
      <c r="B119" s="59">
        <f t="shared" si="4"/>
        <v>110</v>
      </c>
      <c r="C119" s="73" t="s">
        <v>1039</v>
      </c>
      <c r="D119" s="59"/>
      <c r="E119" s="96"/>
      <c r="F119" s="61" t="s">
        <v>518</v>
      </c>
      <c r="G119" s="61" t="s">
        <v>73</v>
      </c>
      <c r="H119" s="61" t="s">
        <v>543</v>
      </c>
      <c r="I119" s="61" t="s">
        <v>77</v>
      </c>
      <c r="J119" s="61" t="s">
        <v>570</v>
      </c>
      <c r="K119" s="97"/>
      <c r="L119" s="61" t="s">
        <v>295</v>
      </c>
      <c r="M119" s="61" t="s">
        <v>295</v>
      </c>
      <c r="N119" s="61"/>
      <c r="O119" s="63" t="s">
        <v>943</v>
      </c>
      <c r="P119" s="64" t="s">
        <v>863</v>
      </c>
      <c r="Q119" s="61" t="s">
        <v>295</v>
      </c>
      <c r="R119" s="96"/>
      <c r="S119" s="64" t="s">
        <v>1094</v>
      </c>
      <c r="T119" s="66"/>
      <c r="U119" s="64"/>
      <c r="V119" s="96"/>
      <c r="W119" s="64" t="s">
        <v>641</v>
      </c>
      <c r="X119" s="96"/>
      <c r="Y119" s="64" t="s">
        <v>983</v>
      </c>
      <c r="Z119" s="64"/>
      <c r="AA119" s="64"/>
      <c r="AB119" s="64"/>
      <c r="BI119" s="52"/>
      <c r="BJ119" s="52"/>
      <c r="BK119" s="52"/>
      <c r="BL119" s="52"/>
      <c r="BM119" s="52"/>
      <c r="BN119" s="52"/>
      <c r="BO119" s="52"/>
      <c r="BP119" s="52"/>
      <c r="BQ119" s="52"/>
      <c r="BR119" s="52"/>
      <c r="BS119" s="52"/>
      <c r="BT119" s="52"/>
      <c r="BU119" s="52"/>
      <c r="BV119" s="52"/>
      <c r="BW119" s="52"/>
      <c r="BX119" s="52"/>
      <c r="BY119" s="52"/>
      <c r="BZ119" s="52"/>
      <c r="CA119" s="52"/>
      <c r="CB119" s="52"/>
      <c r="CC119" s="52"/>
      <c r="CD119" s="52"/>
      <c r="CE119" s="52"/>
      <c r="CF119" s="52"/>
      <c r="CG119" s="52"/>
      <c r="CH119" s="52"/>
      <c r="CI119" s="52"/>
      <c r="CJ119" s="52"/>
      <c r="CK119" s="52"/>
      <c r="CL119" s="52"/>
      <c r="CM119" s="52"/>
      <c r="CN119" s="52"/>
      <c r="CO119" s="52"/>
      <c r="CP119" s="52"/>
      <c r="CQ119" s="52"/>
      <c r="CR119" s="52"/>
      <c r="CS119" s="52"/>
      <c r="CT119" s="52"/>
      <c r="CU119" s="52"/>
      <c r="CV119" s="52"/>
      <c r="CW119" s="52"/>
      <c r="CX119" s="52"/>
      <c r="CY119" s="52"/>
      <c r="CZ119" s="52"/>
      <c r="DA119" s="52"/>
      <c r="DB119" s="52"/>
      <c r="DC119" s="52"/>
      <c r="DD119" s="52"/>
      <c r="DE119" s="52"/>
      <c r="DF119" s="52"/>
      <c r="DG119" s="52"/>
      <c r="DH119" s="52"/>
      <c r="DI119" s="52"/>
      <c r="DJ119" s="52"/>
      <c r="DK119" s="52"/>
      <c r="DL119" s="52"/>
      <c r="DM119" s="52"/>
      <c r="DN119" s="52"/>
      <c r="DO119" s="52"/>
      <c r="DP119" s="52"/>
      <c r="DQ119" s="52"/>
      <c r="DR119" s="52"/>
      <c r="DS119" s="52"/>
      <c r="DT119" s="52"/>
      <c r="DU119" s="52"/>
      <c r="DV119" s="52"/>
      <c r="DW119" s="52"/>
      <c r="DX119" s="52"/>
      <c r="DY119" s="52"/>
      <c r="DZ119" s="52"/>
      <c r="EA119" s="52"/>
      <c r="EB119" s="52"/>
      <c r="EC119" s="52"/>
      <c r="ED119" s="52"/>
      <c r="EE119" s="52"/>
      <c r="EF119" s="52"/>
      <c r="EG119" s="52"/>
      <c r="EH119" s="52"/>
      <c r="EI119" s="52"/>
      <c r="EJ119" s="52"/>
      <c r="EK119" s="52"/>
      <c r="EL119" s="52"/>
      <c r="EM119" s="52"/>
      <c r="EN119" s="52"/>
      <c r="EO119" s="52"/>
      <c r="EP119" s="52"/>
      <c r="EQ119" s="52"/>
      <c r="ER119" s="52"/>
      <c r="ES119" s="52"/>
      <c r="ET119" s="52"/>
      <c r="EU119" s="52"/>
      <c r="EV119" s="52"/>
      <c r="EW119" s="52"/>
      <c r="EX119" s="52"/>
      <c r="EY119" s="52"/>
      <c r="EZ119" s="52"/>
      <c r="FA119" s="52"/>
      <c r="FB119" s="52"/>
      <c r="FC119" s="52"/>
      <c r="FD119" s="52"/>
      <c r="FE119" s="52"/>
      <c r="FF119" s="52"/>
      <c r="FG119" s="52"/>
      <c r="FH119" s="52"/>
      <c r="FI119" s="52"/>
      <c r="FJ119" s="52"/>
      <c r="FK119" s="52"/>
      <c r="FL119" s="52"/>
      <c r="FM119" s="52"/>
      <c r="FN119" s="52"/>
      <c r="FO119" s="52"/>
      <c r="FP119" s="52"/>
      <c r="FQ119" s="52"/>
      <c r="FR119" s="52"/>
      <c r="FS119" s="52"/>
      <c r="FT119" s="52"/>
      <c r="FU119" s="52"/>
      <c r="FV119" s="52"/>
      <c r="FW119" s="52"/>
      <c r="FX119" s="52"/>
      <c r="FY119" s="52"/>
      <c r="FZ119" s="52"/>
      <c r="GA119" s="52"/>
      <c r="GB119" s="52"/>
      <c r="GC119" s="52"/>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2"/>
      <c r="HP119" s="52"/>
      <c r="HQ119" s="52"/>
      <c r="HR119" s="52"/>
      <c r="HS119" s="52"/>
      <c r="HT119" s="52"/>
      <c r="HU119" s="52"/>
      <c r="HV119" s="52"/>
      <c r="HW119" s="52"/>
      <c r="HX119" s="52"/>
      <c r="HY119" s="52"/>
      <c r="HZ119" s="52"/>
      <c r="IA119" s="52"/>
      <c r="IB119" s="52"/>
      <c r="IC119" s="52"/>
      <c r="ID119" s="52"/>
      <c r="IE119" s="52"/>
      <c r="IF119" s="52"/>
      <c r="IG119" s="52"/>
      <c r="IH119" s="52"/>
      <c r="II119" s="52"/>
      <c r="IJ119" s="52"/>
      <c r="IK119" s="52"/>
      <c r="IL119" s="52"/>
      <c r="IM119" s="52"/>
      <c r="IN119" s="52"/>
      <c r="IO119" s="52"/>
      <c r="IP119" s="52"/>
      <c r="IQ119" s="52"/>
      <c r="IR119" s="52"/>
      <c r="IS119" s="52"/>
      <c r="IT119" s="52"/>
      <c r="IU119" s="52"/>
      <c r="IV119" s="52"/>
      <c r="IW119" s="52"/>
      <c r="IX119" s="52"/>
      <c r="IY119" s="52"/>
      <c r="IZ119" s="52"/>
    </row>
    <row r="120" spans="1:260" s="92" customFormat="1" x14ac:dyDescent="0.2">
      <c r="A120" s="51"/>
      <c r="B120" s="59">
        <f t="shared" si="4"/>
        <v>111</v>
      </c>
      <c r="C120" s="73" t="s">
        <v>1039</v>
      </c>
      <c r="D120" s="59"/>
      <c r="E120" s="96"/>
      <c r="F120" s="61" t="s">
        <v>519</v>
      </c>
      <c r="G120" s="61" t="s">
        <v>70</v>
      </c>
      <c r="H120" s="61" t="s">
        <v>544</v>
      </c>
      <c r="I120" s="61" t="s">
        <v>72</v>
      </c>
      <c r="J120" s="62" t="s">
        <v>571</v>
      </c>
      <c r="K120" s="97"/>
      <c r="L120" s="61" t="s">
        <v>1076</v>
      </c>
      <c r="M120" s="61"/>
      <c r="N120" s="61"/>
      <c r="O120" s="63" t="s">
        <v>944</v>
      </c>
      <c r="P120" s="64" t="s">
        <v>862</v>
      </c>
      <c r="Q120" s="61" t="s">
        <v>295</v>
      </c>
      <c r="R120" s="96"/>
      <c r="S120" s="64" t="s">
        <v>1094</v>
      </c>
      <c r="T120" s="66"/>
      <c r="U120" s="64"/>
      <c r="V120" s="96"/>
      <c r="W120" s="64" t="s">
        <v>642</v>
      </c>
      <c r="X120" s="96"/>
      <c r="Y120" s="64" t="s">
        <v>991</v>
      </c>
      <c r="Z120" s="64"/>
      <c r="AA120" s="64"/>
      <c r="AB120" s="64"/>
      <c r="BI120" s="52"/>
      <c r="BJ120" s="52"/>
      <c r="BK120" s="52"/>
      <c r="BL120" s="52"/>
      <c r="BM120" s="52"/>
      <c r="BN120" s="52"/>
      <c r="BO120" s="52"/>
      <c r="BP120" s="52"/>
      <c r="BQ120" s="52"/>
      <c r="BR120" s="52"/>
      <c r="BS120" s="52"/>
      <c r="BT120" s="52"/>
      <c r="BU120" s="52"/>
      <c r="BV120" s="52"/>
      <c r="BW120" s="52"/>
      <c r="BX120" s="52"/>
      <c r="BY120" s="52"/>
      <c r="BZ120" s="52"/>
      <c r="CA120" s="52"/>
      <c r="CB120" s="52"/>
      <c r="CC120" s="52"/>
      <c r="CD120" s="52"/>
      <c r="CE120" s="52"/>
      <c r="CF120" s="52"/>
      <c r="CG120" s="52"/>
      <c r="CH120" s="52"/>
      <c r="CI120" s="52"/>
      <c r="CJ120" s="52"/>
      <c r="CK120" s="52"/>
      <c r="CL120" s="52"/>
      <c r="CM120" s="52"/>
      <c r="CN120" s="52"/>
      <c r="CO120" s="52"/>
      <c r="CP120" s="52"/>
      <c r="CQ120" s="52"/>
      <c r="CR120" s="52"/>
      <c r="CS120" s="52"/>
      <c r="CT120" s="52"/>
      <c r="CU120" s="52"/>
      <c r="CV120" s="52"/>
      <c r="CW120" s="52"/>
      <c r="CX120" s="52"/>
      <c r="CY120" s="52"/>
      <c r="CZ120" s="52"/>
      <c r="DA120" s="52"/>
      <c r="DB120" s="52"/>
      <c r="DC120" s="52"/>
      <c r="DD120" s="52"/>
      <c r="DE120" s="52"/>
      <c r="DF120" s="52"/>
      <c r="DG120" s="52"/>
      <c r="DH120" s="52"/>
      <c r="DI120" s="52"/>
      <c r="DJ120" s="52"/>
      <c r="DK120" s="52"/>
      <c r="DL120" s="52"/>
      <c r="DM120" s="52"/>
      <c r="DN120" s="52"/>
      <c r="DO120" s="52"/>
      <c r="DP120" s="52"/>
      <c r="DQ120" s="52"/>
      <c r="DR120" s="52"/>
      <c r="DS120" s="52"/>
      <c r="DT120" s="52"/>
      <c r="DU120" s="52"/>
      <c r="DV120" s="52"/>
      <c r="DW120" s="52"/>
      <c r="DX120" s="52"/>
      <c r="DY120" s="52"/>
      <c r="DZ120" s="52"/>
      <c r="EA120" s="52"/>
      <c r="EB120" s="52"/>
      <c r="EC120" s="52"/>
      <c r="ED120" s="52"/>
      <c r="EE120" s="52"/>
      <c r="EF120" s="52"/>
      <c r="EG120" s="52"/>
      <c r="EH120" s="52"/>
      <c r="EI120" s="52"/>
      <c r="EJ120" s="52"/>
      <c r="EK120" s="52"/>
      <c r="EL120" s="52"/>
      <c r="EM120" s="52"/>
      <c r="EN120" s="52"/>
      <c r="EO120" s="52"/>
      <c r="EP120" s="52"/>
      <c r="EQ120" s="52"/>
      <c r="ER120" s="52"/>
      <c r="ES120" s="52"/>
      <c r="ET120" s="52"/>
      <c r="EU120" s="52"/>
      <c r="EV120" s="52"/>
      <c r="EW120" s="52"/>
      <c r="EX120" s="52"/>
      <c r="EY120" s="52"/>
      <c r="EZ120" s="52"/>
      <c r="FA120" s="52"/>
      <c r="FB120" s="52"/>
      <c r="FC120" s="52"/>
      <c r="FD120" s="52"/>
      <c r="FE120" s="52"/>
      <c r="FF120" s="52"/>
      <c r="FG120" s="52"/>
      <c r="FH120" s="52"/>
      <c r="FI120" s="52"/>
      <c r="FJ120" s="52"/>
      <c r="FK120" s="52"/>
      <c r="FL120" s="52"/>
      <c r="FM120" s="52"/>
      <c r="FN120" s="52"/>
      <c r="FO120" s="52"/>
      <c r="FP120" s="52"/>
      <c r="FQ120" s="52"/>
      <c r="FR120" s="52"/>
      <c r="FS120" s="52"/>
      <c r="FT120" s="52"/>
      <c r="FU120" s="52"/>
      <c r="FV120" s="52"/>
      <c r="FW120" s="52"/>
      <c r="FX120" s="52"/>
      <c r="FY120" s="52"/>
      <c r="FZ120" s="52"/>
      <c r="GA120" s="52"/>
      <c r="GB120" s="52"/>
      <c r="GC120" s="52"/>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2"/>
      <c r="HP120" s="52"/>
      <c r="HQ120" s="52"/>
      <c r="HR120" s="52"/>
      <c r="HS120" s="52"/>
      <c r="HT120" s="52"/>
      <c r="HU120" s="52"/>
      <c r="HV120" s="52"/>
      <c r="HW120" s="52"/>
      <c r="HX120" s="52"/>
      <c r="HY120" s="52"/>
      <c r="HZ120" s="52"/>
      <c r="IA120" s="52"/>
      <c r="IB120" s="52"/>
      <c r="IC120" s="52"/>
      <c r="ID120" s="52"/>
      <c r="IE120" s="52"/>
      <c r="IF120" s="52"/>
      <c r="IG120" s="52"/>
      <c r="IH120" s="52"/>
      <c r="II120" s="52"/>
      <c r="IJ120" s="52"/>
      <c r="IK120" s="52"/>
      <c r="IL120" s="52"/>
      <c r="IM120" s="52"/>
      <c r="IN120" s="52"/>
      <c r="IO120" s="52"/>
      <c r="IP120" s="52"/>
      <c r="IQ120" s="52"/>
      <c r="IR120" s="52"/>
      <c r="IS120" s="52"/>
      <c r="IT120" s="52"/>
      <c r="IU120" s="52"/>
      <c r="IV120" s="52"/>
      <c r="IW120" s="52"/>
      <c r="IX120" s="52"/>
      <c r="IY120" s="52"/>
      <c r="IZ120" s="52"/>
    </row>
    <row r="121" spans="1:260" s="92" customFormat="1" x14ac:dyDescent="0.2">
      <c r="A121" s="51"/>
      <c r="B121" s="59">
        <f t="shared" si="4"/>
        <v>112</v>
      </c>
      <c r="C121" s="73" t="s">
        <v>1039</v>
      </c>
      <c r="D121" s="59"/>
      <c r="E121" s="96"/>
      <c r="F121" s="61" t="s">
        <v>520</v>
      </c>
      <c r="G121" s="61" t="s">
        <v>70</v>
      </c>
      <c r="H121" s="61" t="s">
        <v>545</v>
      </c>
      <c r="I121" s="61" t="s">
        <v>77</v>
      </c>
      <c r="J121" s="62" t="s">
        <v>572</v>
      </c>
      <c r="K121" s="97"/>
      <c r="L121" s="61" t="s">
        <v>590</v>
      </c>
      <c r="M121" s="61" t="s">
        <v>599</v>
      </c>
      <c r="N121" s="61"/>
      <c r="O121" s="63" t="s">
        <v>945</v>
      </c>
      <c r="P121" s="64" t="s">
        <v>861</v>
      </c>
      <c r="Q121" s="64" t="s">
        <v>618</v>
      </c>
      <c r="R121" s="96"/>
      <c r="S121" s="64" t="s">
        <v>1094</v>
      </c>
      <c r="T121" s="66"/>
      <c r="U121" s="64"/>
      <c r="V121" s="96"/>
      <c r="W121" s="64" t="s">
        <v>643</v>
      </c>
      <c r="X121" s="96"/>
      <c r="Y121" s="64" t="s">
        <v>983</v>
      </c>
      <c r="Z121" s="64"/>
      <c r="AA121" s="64"/>
      <c r="AB121" s="64"/>
      <c r="BI121" s="52"/>
      <c r="BJ121" s="52"/>
      <c r="BK121" s="52"/>
      <c r="BL121" s="52"/>
      <c r="BM121" s="52"/>
      <c r="BN121" s="52"/>
      <c r="BO121" s="52"/>
      <c r="BP121" s="52"/>
      <c r="BQ121" s="52"/>
      <c r="BR121" s="52"/>
      <c r="BS121" s="52"/>
      <c r="BT121" s="52"/>
      <c r="BU121" s="52"/>
      <c r="BV121" s="52"/>
      <c r="BW121" s="52"/>
      <c r="BX121" s="52"/>
      <c r="BY121" s="52"/>
      <c r="BZ121" s="52"/>
      <c r="CA121" s="52"/>
      <c r="CB121" s="52"/>
      <c r="CC121" s="52"/>
      <c r="CD121" s="52"/>
      <c r="CE121" s="52"/>
      <c r="CF121" s="52"/>
      <c r="CG121" s="52"/>
      <c r="CH121" s="52"/>
      <c r="CI121" s="52"/>
      <c r="CJ121" s="52"/>
      <c r="CK121" s="52"/>
      <c r="CL121" s="52"/>
      <c r="CM121" s="52"/>
      <c r="CN121" s="52"/>
      <c r="CO121" s="52"/>
      <c r="CP121" s="52"/>
      <c r="CQ121" s="52"/>
      <c r="CR121" s="52"/>
      <c r="CS121" s="52"/>
      <c r="CT121" s="52"/>
      <c r="CU121" s="52"/>
      <c r="CV121" s="52"/>
      <c r="CW121" s="52"/>
      <c r="CX121" s="52"/>
      <c r="CY121" s="52"/>
      <c r="CZ121" s="52"/>
      <c r="DA121" s="52"/>
      <c r="DB121" s="52"/>
      <c r="DC121" s="52"/>
      <c r="DD121" s="52"/>
      <c r="DE121" s="52"/>
      <c r="DF121" s="52"/>
      <c r="DG121" s="52"/>
      <c r="DH121" s="52"/>
      <c r="DI121" s="52"/>
      <c r="DJ121" s="52"/>
      <c r="DK121" s="52"/>
      <c r="DL121" s="52"/>
      <c r="DM121" s="52"/>
      <c r="DN121" s="52"/>
      <c r="DO121" s="52"/>
      <c r="DP121" s="52"/>
      <c r="DQ121" s="52"/>
      <c r="DR121" s="52"/>
      <c r="DS121" s="52"/>
      <c r="DT121" s="52"/>
      <c r="DU121" s="52"/>
      <c r="DV121" s="52"/>
      <c r="DW121" s="52"/>
      <c r="DX121" s="52"/>
      <c r="DY121" s="52"/>
      <c r="DZ121" s="52"/>
      <c r="EA121" s="52"/>
      <c r="EB121" s="52"/>
      <c r="EC121" s="52"/>
      <c r="ED121" s="52"/>
      <c r="EE121" s="52"/>
      <c r="EF121" s="52"/>
      <c r="EG121" s="52"/>
      <c r="EH121" s="52"/>
      <c r="EI121" s="52"/>
      <c r="EJ121" s="52"/>
      <c r="EK121" s="52"/>
      <c r="EL121" s="52"/>
      <c r="EM121" s="52"/>
      <c r="EN121" s="52"/>
      <c r="EO121" s="52"/>
      <c r="EP121" s="52"/>
      <c r="EQ121" s="52"/>
      <c r="ER121" s="52"/>
      <c r="ES121" s="52"/>
      <c r="ET121" s="52"/>
      <c r="EU121" s="52"/>
      <c r="EV121" s="52"/>
      <c r="EW121" s="52"/>
      <c r="EX121" s="52"/>
      <c r="EY121" s="52"/>
      <c r="EZ121" s="52"/>
      <c r="FA121" s="52"/>
      <c r="FB121" s="52"/>
      <c r="FC121" s="52"/>
      <c r="FD121" s="52"/>
      <c r="FE121" s="52"/>
      <c r="FF121" s="52"/>
      <c r="FG121" s="52"/>
      <c r="FH121" s="52"/>
      <c r="FI121" s="52"/>
      <c r="FJ121" s="52"/>
      <c r="FK121" s="52"/>
      <c r="FL121" s="52"/>
      <c r="FM121" s="52"/>
      <c r="FN121" s="52"/>
      <c r="FO121" s="52"/>
      <c r="FP121" s="52"/>
      <c r="FQ121" s="52"/>
      <c r="FR121" s="52"/>
      <c r="FS121" s="52"/>
      <c r="FT121" s="52"/>
      <c r="FU121" s="52"/>
      <c r="FV121" s="52"/>
      <c r="FW121" s="52"/>
      <c r="FX121" s="52"/>
      <c r="FY121" s="52"/>
      <c r="FZ121" s="52"/>
      <c r="GA121" s="52"/>
      <c r="GB121" s="52"/>
      <c r="GC121" s="52"/>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2"/>
      <c r="HP121" s="52"/>
      <c r="HQ121" s="52"/>
      <c r="HR121" s="52"/>
      <c r="HS121" s="52"/>
      <c r="HT121" s="52"/>
      <c r="HU121" s="52"/>
      <c r="HV121" s="52"/>
      <c r="HW121" s="52"/>
      <c r="HX121" s="52"/>
      <c r="HY121" s="52"/>
      <c r="HZ121" s="52"/>
      <c r="IA121" s="52"/>
      <c r="IB121" s="52"/>
      <c r="IC121" s="52"/>
      <c r="ID121" s="52"/>
      <c r="IE121" s="52"/>
      <c r="IF121" s="52"/>
      <c r="IG121" s="52"/>
      <c r="IH121" s="52"/>
      <c r="II121" s="52"/>
      <c r="IJ121" s="52"/>
      <c r="IK121" s="52"/>
      <c r="IL121" s="52"/>
      <c r="IM121" s="52"/>
      <c r="IN121" s="52"/>
      <c r="IO121" s="52"/>
      <c r="IP121" s="52"/>
      <c r="IQ121" s="52"/>
      <c r="IR121" s="52"/>
      <c r="IS121" s="52"/>
      <c r="IT121" s="52"/>
      <c r="IU121" s="52"/>
      <c r="IV121" s="52"/>
      <c r="IW121" s="52"/>
      <c r="IX121" s="52"/>
      <c r="IY121" s="52"/>
      <c r="IZ121" s="52"/>
    </row>
    <row r="122" spans="1:260" x14ac:dyDescent="0.2">
      <c r="B122" s="59">
        <f t="shared" si="4"/>
        <v>113</v>
      </c>
      <c r="C122" s="73"/>
      <c r="D122" s="59"/>
      <c r="E122" s="56"/>
      <c r="F122" s="61" t="s">
        <v>521</v>
      </c>
      <c r="G122" s="61" t="s">
        <v>70</v>
      </c>
      <c r="H122" s="61" t="s">
        <v>546</v>
      </c>
      <c r="I122" s="61" t="s">
        <v>72</v>
      </c>
      <c r="J122" s="62" t="s">
        <v>573</v>
      </c>
      <c r="K122" s="58"/>
      <c r="L122" s="61" t="s">
        <v>591</v>
      </c>
      <c r="M122" s="61" t="s">
        <v>139</v>
      </c>
      <c r="N122" s="61" t="s">
        <v>619</v>
      </c>
      <c r="O122" s="63" t="s">
        <v>858</v>
      </c>
      <c r="P122" s="64" t="s">
        <v>859</v>
      </c>
      <c r="Q122" s="65" t="s">
        <v>860</v>
      </c>
      <c r="R122" s="56"/>
      <c r="S122" s="64" t="s">
        <v>20</v>
      </c>
      <c r="T122" s="66">
        <v>46211</v>
      </c>
      <c r="U122" s="64" t="s">
        <v>717</v>
      </c>
      <c r="V122" s="56"/>
      <c r="W122" s="64" t="s">
        <v>644</v>
      </c>
      <c r="X122" s="56"/>
      <c r="Y122" s="64" t="s">
        <v>991</v>
      </c>
      <c r="Z122" s="64"/>
      <c r="AA122" s="64"/>
      <c r="AB122" s="64"/>
    </row>
    <row r="123" spans="1:260" x14ac:dyDescent="0.2">
      <c r="B123" s="59">
        <f t="shared" si="4"/>
        <v>114</v>
      </c>
      <c r="C123" s="73" t="s">
        <v>1039</v>
      </c>
      <c r="D123" s="60"/>
      <c r="E123" s="56"/>
      <c r="F123" s="61" t="s">
        <v>369</v>
      </c>
      <c r="G123" s="61" t="s">
        <v>70</v>
      </c>
      <c r="H123" s="61" t="s">
        <v>395</v>
      </c>
      <c r="I123" s="61" t="s">
        <v>72</v>
      </c>
      <c r="J123" s="62" t="s">
        <v>504</v>
      </c>
      <c r="K123" s="58"/>
      <c r="L123" s="61" t="s">
        <v>1072</v>
      </c>
      <c r="M123" s="61" t="s">
        <v>295</v>
      </c>
      <c r="N123" s="62" t="s">
        <v>1069</v>
      </c>
      <c r="O123" s="63" t="s">
        <v>911</v>
      </c>
      <c r="P123" s="64" t="s">
        <v>916</v>
      </c>
      <c r="Q123" s="65" t="s">
        <v>917</v>
      </c>
      <c r="R123" s="56"/>
      <c r="S123" s="64" t="s">
        <v>20</v>
      </c>
      <c r="T123" s="66">
        <v>46219</v>
      </c>
      <c r="U123" s="64"/>
      <c r="V123" s="56"/>
      <c r="W123" s="64" t="s">
        <v>437</v>
      </c>
      <c r="X123" s="56"/>
      <c r="Y123" s="64" t="s">
        <v>991</v>
      </c>
      <c r="Z123" s="64"/>
      <c r="AA123" s="64"/>
      <c r="AB123" s="64"/>
    </row>
    <row r="124" spans="1:260" x14ac:dyDescent="0.2">
      <c r="B124" s="59">
        <f t="shared" si="4"/>
        <v>115</v>
      </c>
      <c r="C124" s="73"/>
      <c r="D124" s="59"/>
      <c r="E124" s="56"/>
      <c r="F124" s="61" t="s">
        <v>523</v>
      </c>
      <c r="G124" s="61" t="s">
        <v>73</v>
      </c>
      <c r="H124" s="61" t="s">
        <v>548</v>
      </c>
      <c r="I124" s="61" t="s">
        <v>72</v>
      </c>
      <c r="J124" s="62" t="s">
        <v>575</v>
      </c>
      <c r="K124" s="58"/>
      <c r="L124" s="61" t="s">
        <v>592</v>
      </c>
      <c r="M124" s="61" t="s">
        <v>137</v>
      </c>
      <c r="N124" s="61" t="s">
        <v>621</v>
      </c>
      <c r="O124" s="63" t="s">
        <v>855</v>
      </c>
      <c r="P124" s="64" t="s">
        <v>854</v>
      </c>
      <c r="Q124" s="64" t="s">
        <v>853</v>
      </c>
      <c r="R124" s="56"/>
      <c r="S124" s="64" t="s">
        <v>20</v>
      </c>
      <c r="T124" s="66">
        <v>46211</v>
      </c>
      <c r="U124" s="64" t="s">
        <v>717</v>
      </c>
      <c r="V124" s="56"/>
      <c r="W124" s="64" t="s">
        <v>646</v>
      </c>
      <c r="X124" s="56"/>
      <c r="Y124" s="64" t="s">
        <v>991</v>
      </c>
      <c r="Z124" s="64"/>
      <c r="AA124" s="64"/>
      <c r="AB124" s="64"/>
    </row>
    <row r="125" spans="1:260" x14ac:dyDescent="0.2">
      <c r="B125" s="59">
        <f t="shared" si="4"/>
        <v>116</v>
      </c>
      <c r="C125" s="73"/>
      <c r="D125" s="59"/>
      <c r="E125" s="56"/>
      <c r="F125" s="61" t="s">
        <v>524</v>
      </c>
      <c r="G125" s="61" t="s">
        <v>70</v>
      </c>
      <c r="H125" s="61" t="s">
        <v>549</v>
      </c>
      <c r="I125" s="61" t="s">
        <v>550</v>
      </c>
      <c r="J125" s="62" t="s">
        <v>576</v>
      </c>
      <c r="K125" s="58"/>
      <c r="L125" s="61" t="s">
        <v>593</v>
      </c>
      <c r="M125" s="61" t="s">
        <v>139</v>
      </c>
      <c r="N125" s="61" t="s">
        <v>622</v>
      </c>
      <c r="O125" s="63" t="s">
        <v>623</v>
      </c>
      <c r="P125" s="64" t="s">
        <v>852</v>
      </c>
      <c r="Q125" s="65" t="s">
        <v>851</v>
      </c>
      <c r="R125" s="56"/>
      <c r="S125" s="64" t="s">
        <v>20</v>
      </c>
      <c r="T125" s="66">
        <v>46211</v>
      </c>
      <c r="U125" s="64" t="s">
        <v>717</v>
      </c>
      <c r="V125" s="56"/>
      <c r="W125" s="64" t="s">
        <v>647</v>
      </c>
      <c r="X125" s="56"/>
      <c r="Y125" s="64" t="s">
        <v>991</v>
      </c>
      <c r="Z125" s="64"/>
      <c r="AA125" s="64"/>
      <c r="AB125" s="64"/>
    </row>
    <row r="126" spans="1:260" s="92" customFormat="1" x14ac:dyDescent="0.2">
      <c r="A126" s="51"/>
      <c r="B126" s="59">
        <f t="shared" si="4"/>
        <v>117</v>
      </c>
      <c r="C126" s="73" t="s">
        <v>1039</v>
      </c>
      <c r="D126" s="59"/>
      <c r="E126" s="96"/>
      <c r="F126" s="61" t="s">
        <v>525</v>
      </c>
      <c r="G126" s="61" t="s">
        <v>73</v>
      </c>
      <c r="H126" s="61" t="s">
        <v>551</v>
      </c>
      <c r="I126" s="61" t="s">
        <v>77</v>
      </c>
      <c r="J126" s="62" t="s">
        <v>577</v>
      </c>
      <c r="K126" s="97"/>
      <c r="L126" s="61" t="s">
        <v>295</v>
      </c>
      <c r="M126" s="61" t="s">
        <v>295</v>
      </c>
      <c r="N126" s="61"/>
      <c r="O126" s="63" t="s">
        <v>623</v>
      </c>
      <c r="P126" s="64" t="s">
        <v>850</v>
      </c>
      <c r="Q126" s="65" t="s">
        <v>851</v>
      </c>
      <c r="R126" s="96"/>
      <c r="S126" s="64" t="s">
        <v>1094</v>
      </c>
      <c r="T126" s="66"/>
      <c r="U126" s="64"/>
      <c r="V126" s="96"/>
      <c r="W126" s="64" t="s">
        <v>648</v>
      </c>
      <c r="X126" s="96"/>
      <c r="Y126" s="64" t="s">
        <v>983</v>
      </c>
      <c r="Z126" s="64"/>
      <c r="AA126" s="64"/>
      <c r="AB126" s="64"/>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52"/>
      <c r="CH126" s="52"/>
      <c r="CI126" s="52"/>
      <c r="CJ126" s="52"/>
      <c r="CK126" s="52"/>
      <c r="CL126" s="52"/>
      <c r="CM126" s="52"/>
      <c r="CN126" s="52"/>
      <c r="CO126" s="52"/>
      <c r="CP126" s="52"/>
      <c r="CQ126" s="52"/>
      <c r="CR126" s="52"/>
      <c r="CS126" s="52"/>
      <c r="CT126" s="52"/>
      <c r="CU126" s="52"/>
      <c r="CV126" s="52"/>
      <c r="CW126" s="52"/>
      <c r="CX126" s="52"/>
      <c r="CY126" s="52"/>
      <c r="CZ126" s="52"/>
      <c r="DA126" s="52"/>
      <c r="DB126" s="52"/>
      <c r="DC126" s="52"/>
      <c r="DD126" s="52"/>
      <c r="DE126" s="52"/>
      <c r="DF126" s="52"/>
      <c r="DG126" s="52"/>
      <c r="DH126" s="52"/>
      <c r="DI126" s="52"/>
      <c r="DJ126" s="52"/>
      <c r="DK126" s="52"/>
      <c r="DL126" s="52"/>
      <c r="DM126" s="52"/>
      <c r="DN126" s="52"/>
      <c r="DO126" s="52"/>
      <c r="DP126" s="52"/>
      <c r="DQ126" s="52"/>
      <c r="DR126" s="52"/>
      <c r="DS126" s="52"/>
      <c r="DT126" s="52"/>
      <c r="DU126" s="52"/>
      <c r="DV126" s="52"/>
      <c r="DW126" s="52"/>
      <c r="DX126" s="52"/>
      <c r="DY126" s="52"/>
      <c r="DZ126" s="52"/>
      <c r="EA126" s="52"/>
      <c r="EB126" s="52"/>
      <c r="EC126" s="52"/>
      <c r="ED126" s="52"/>
      <c r="EE126" s="52"/>
      <c r="EF126" s="52"/>
      <c r="EG126" s="52"/>
      <c r="EH126" s="52"/>
      <c r="EI126" s="52"/>
      <c r="EJ126" s="52"/>
      <c r="EK126" s="52"/>
      <c r="EL126" s="52"/>
      <c r="EM126" s="52"/>
      <c r="EN126" s="52"/>
      <c r="EO126" s="52"/>
      <c r="EP126" s="52"/>
      <c r="EQ126" s="52"/>
      <c r="ER126" s="52"/>
      <c r="ES126" s="52"/>
      <c r="ET126" s="52"/>
      <c r="EU126" s="52"/>
      <c r="EV126" s="52"/>
      <c r="EW126" s="52"/>
      <c r="EX126" s="52"/>
      <c r="EY126" s="52"/>
      <c r="EZ126" s="52"/>
      <c r="FA126" s="52"/>
      <c r="FB126" s="52"/>
      <c r="FC126" s="52"/>
      <c r="FD126" s="52"/>
      <c r="FE126" s="52"/>
      <c r="FF126" s="52"/>
      <c r="FG126" s="52"/>
      <c r="FH126" s="52"/>
      <c r="FI126" s="52"/>
      <c r="FJ126" s="52"/>
      <c r="FK126" s="52"/>
      <c r="FL126" s="52"/>
      <c r="FM126" s="52"/>
      <c r="FN126" s="52"/>
      <c r="FO126" s="52"/>
      <c r="FP126" s="52"/>
      <c r="FQ126" s="52"/>
      <c r="FR126" s="52"/>
      <c r="FS126" s="52"/>
      <c r="FT126" s="52"/>
      <c r="FU126" s="52"/>
      <c r="FV126" s="52"/>
      <c r="FW126" s="52"/>
      <c r="FX126" s="52"/>
      <c r="FY126" s="52"/>
      <c r="FZ126" s="52"/>
      <c r="GA126" s="52"/>
      <c r="GB126" s="52"/>
      <c r="GC126" s="52"/>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2"/>
      <c r="HP126" s="52"/>
      <c r="HQ126" s="52"/>
      <c r="HR126" s="52"/>
      <c r="HS126" s="52"/>
      <c r="HT126" s="52"/>
      <c r="HU126" s="52"/>
      <c r="HV126" s="52"/>
      <c r="HW126" s="52"/>
      <c r="HX126" s="52"/>
      <c r="HY126" s="52"/>
      <c r="HZ126" s="52"/>
      <c r="IA126" s="52"/>
      <c r="IB126" s="52"/>
      <c r="IC126" s="52"/>
      <c r="ID126" s="52"/>
      <c r="IE126" s="52"/>
      <c r="IF126" s="52"/>
      <c r="IG126" s="52"/>
      <c r="IH126" s="52"/>
      <c r="II126" s="52"/>
      <c r="IJ126" s="52"/>
      <c r="IK126" s="52"/>
      <c r="IL126" s="52"/>
      <c r="IM126" s="52"/>
      <c r="IN126" s="52"/>
      <c r="IO126" s="52"/>
      <c r="IP126" s="52"/>
      <c r="IQ126" s="52"/>
      <c r="IR126" s="52"/>
      <c r="IS126" s="52"/>
      <c r="IT126" s="52"/>
      <c r="IU126" s="52"/>
      <c r="IV126" s="52"/>
      <c r="IW126" s="52"/>
      <c r="IX126" s="52"/>
      <c r="IY126" s="52"/>
      <c r="IZ126" s="52"/>
    </row>
    <row r="127" spans="1:260" x14ac:dyDescent="0.2">
      <c r="B127" s="59">
        <f t="shared" si="4"/>
        <v>118</v>
      </c>
      <c r="C127" s="73" t="s">
        <v>1025</v>
      </c>
      <c r="D127" s="60"/>
      <c r="E127" s="56"/>
      <c r="F127" s="61" t="s">
        <v>338</v>
      </c>
      <c r="G127" s="61" t="s">
        <v>73</v>
      </c>
      <c r="H127" s="61" t="s">
        <v>377</v>
      </c>
      <c r="I127" s="61" t="s">
        <v>72</v>
      </c>
      <c r="J127" s="62" t="s">
        <v>472</v>
      </c>
      <c r="K127" s="58"/>
      <c r="L127" s="61" t="s">
        <v>996</v>
      </c>
      <c r="M127" s="61"/>
      <c r="N127" s="62" t="s">
        <v>1086</v>
      </c>
      <c r="O127" s="63" t="s">
        <v>881</v>
      </c>
      <c r="P127" s="64" t="s">
        <v>882</v>
      </c>
      <c r="Q127" s="64"/>
      <c r="R127" s="56"/>
      <c r="S127" s="64" t="s">
        <v>20</v>
      </c>
      <c r="T127" s="66">
        <v>46219</v>
      </c>
      <c r="U127" s="64"/>
      <c r="V127" s="56"/>
      <c r="W127" s="64" t="s">
        <v>404</v>
      </c>
      <c r="X127" s="56"/>
      <c r="Y127" s="64" t="s">
        <v>991</v>
      </c>
      <c r="Z127" s="64"/>
      <c r="AA127" s="64"/>
      <c r="AB127" s="64"/>
    </row>
    <row r="128" spans="1:260" x14ac:dyDescent="0.2">
      <c r="B128" s="59">
        <f t="shared" si="4"/>
        <v>119</v>
      </c>
      <c r="C128" s="73" t="s">
        <v>1039</v>
      </c>
      <c r="D128" s="59"/>
      <c r="E128" s="56"/>
      <c r="F128" s="61" t="s">
        <v>527</v>
      </c>
      <c r="G128" s="61" t="s">
        <v>70</v>
      </c>
      <c r="H128" s="61" t="s">
        <v>553</v>
      </c>
      <c r="I128" s="61" t="s">
        <v>77</v>
      </c>
      <c r="J128" s="61" t="s">
        <v>579</v>
      </c>
      <c r="K128" s="58"/>
      <c r="L128" s="61" t="s">
        <v>837</v>
      </c>
      <c r="M128" s="61" t="s">
        <v>838</v>
      </c>
      <c r="N128" s="61"/>
      <c r="O128" s="63" t="s">
        <v>625</v>
      </c>
      <c r="P128" s="64" t="s">
        <v>834</v>
      </c>
      <c r="Q128" s="61" t="s">
        <v>295</v>
      </c>
      <c r="R128" s="56"/>
      <c r="S128" s="64" t="s">
        <v>1001</v>
      </c>
      <c r="T128" s="66">
        <v>46216</v>
      </c>
      <c r="U128" s="64" t="s">
        <v>972</v>
      </c>
      <c r="V128" s="56"/>
      <c r="W128" s="64" t="s">
        <v>650</v>
      </c>
      <c r="X128" s="56"/>
      <c r="Y128" s="64" t="s">
        <v>1081</v>
      </c>
      <c r="Z128" s="64" t="s">
        <v>1123</v>
      </c>
      <c r="AA128" s="64" t="s">
        <v>295</v>
      </c>
      <c r="AB128" s="64" t="s">
        <v>295</v>
      </c>
    </row>
    <row r="129" spans="1:260" x14ac:dyDescent="0.2">
      <c r="B129" s="59">
        <f t="shared" si="4"/>
        <v>120</v>
      </c>
      <c r="C129" s="73" t="s">
        <v>1039</v>
      </c>
      <c r="D129" s="59"/>
      <c r="E129" s="56"/>
      <c r="F129" s="61" t="s">
        <v>528</v>
      </c>
      <c r="G129" s="61" t="s">
        <v>70</v>
      </c>
      <c r="H129" s="61" t="s">
        <v>554</v>
      </c>
      <c r="I129" s="61" t="s">
        <v>77</v>
      </c>
      <c r="J129" s="61" t="s">
        <v>580</v>
      </c>
      <c r="K129" s="58"/>
      <c r="L129" s="61" t="s">
        <v>295</v>
      </c>
      <c r="M129" s="61" t="s">
        <v>295</v>
      </c>
      <c r="N129" s="61"/>
      <c r="O129" s="63" t="s">
        <v>626</v>
      </c>
      <c r="P129" s="64" t="s">
        <v>840</v>
      </c>
      <c r="Q129" s="64" t="s">
        <v>839</v>
      </c>
      <c r="R129" s="56"/>
      <c r="S129" s="64" t="s">
        <v>1001</v>
      </c>
      <c r="T129" s="66">
        <v>46216</v>
      </c>
      <c r="U129" s="64" t="s">
        <v>972</v>
      </c>
      <c r="V129" s="56"/>
      <c r="W129" s="64" t="s">
        <v>651</v>
      </c>
      <c r="X129" s="56"/>
      <c r="Y129" s="64" t="s">
        <v>991</v>
      </c>
      <c r="Z129" s="64" t="s">
        <v>1123</v>
      </c>
      <c r="AA129" s="64" t="s">
        <v>295</v>
      </c>
      <c r="AB129" s="64" t="s">
        <v>295</v>
      </c>
    </row>
    <row r="130" spans="1:260" x14ac:dyDescent="0.2">
      <c r="B130" s="59">
        <f t="shared" si="4"/>
        <v>121</v>
      </c>
      <c r="C130" s="73"/>
      <c r="D130" s="59"/>
      <c r="E130" s="56"/>
      <c r="F130" s="61" t="s">
        <v>529</v>
      </c>
      <c r="G130" s="61" t="s">
        <v>73</v>
      </c>
      <c r="H130" s="61" t="s">
        <v>555</v>
      </c>
      <c r="I130" s="61" t="s">
        <v>77</v>
      </c>
      <c r="J130" s="61" t="s">
        <v>581</v>
      </c>
      <c r="K130" s="58"/>
      <c r="L130" s="61" t="s">
        <v>594</v>
      </c>
      <c r="M130" s="61" t="s">
        <v>600</v>
      </c>
      <c r="N130" s="61" t="s">
        <v>627</v>
      </c>
      <c r="O130" s="63" t="s">
        <v>721</v>
      </c>
      <c r="P130" s="64" t="s">
        <v>842</v>
      </c>
      <c r="Q130" s="61" t="s">
        <v>295</v>
      </c>
      <c r="R130" s="56"/>
      <c r="S130" s="64" t="s">
        <v>20</v>
      </c>
      <c r="T130" s="66">
        <v>46211</v>
      </c>
      <c r="U130" s="64" t="s">
        <v>717</v>
      </c>
      <c r="V130" s="56"/>
      <c r="W130" s="64" t="s">
        <v>652</v>
      </c>
      <c r="X130" s="56"/>
      <c r="Y130" s="64" t="s">
        <v>991</v>
      </c>
      <c r="Z130" s="64"/>
      <c r="AA130" s="64"/>
      <c r="AB130" s="64"/>
    </row>
    <row r="131" spans="1:260" s="92" customFormat="1" x14ac:dyDescent="0.2">
      <c r="A131" s="51"/>
      <c r="B131" s="59">
        <f t="shared" si="4"/>
        <v>122</v>
      </c>
      <c r="C131" s="73" t="s">
        <v>1039</v>
      </c>
      <c r="D131" s="59"/>
      <c r="E131" s="96"/>
      <c r="F131" s="61" t="s">
        <v>530</v>
      </c>
      <c r="G131" s="61" t="s">
        <v>70</v>
      </c>
      <c r="H131" s="61" t="s">
        <v>556</v>
      </c>
      <c r="I131" s="61" t="s">
        <v>77</v>
      </c>
      <c r="J131" s="61" t="s">
        <v>582</v>
      </c>
      <c r="K131" s="97"/>
      <c r="L131" s="61"/>
      <c r="M131" s="61"/>
      <c r="N131" s="61"/>
      <c r="O131" s="63" t="s">
        <v>628</v>
      </c>
      <c r="P131" s="64" t="s">
        <v>843</v>
      </c>
      <c r="Q131" s="61" t="s">
        <v>295</v>
      </c>
      <c r="R131" s="96"/>
      <c r="S131" s="64" t="s">
        <v>247</v>
      </c>
      <c r="T131" s="66">
        <v>46216</v>
      </c>
      <c r="U131" s="64" t="s">
        <v>972</v>
      </c>
      <c r="V131" s="96"/>
      <c r="W131" s="64" t="s">
        <v>653</v>
      </c>
      <c r="X131" s="96"/>
      <c r="Y131" s="64" t="s">
        <v>991</v>
      </c>
      <c r="Z131" s="64" t="s">
        <v>1123</v>
      </c>
      <c r="AA131" s="64" t="s">
        <v>295</v>
      </c>
      <c r="AB131" s="64" t="s">
        <v>295</v>
      </c>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52"/>
      <c r="CH131" s="52"/>
      <c r="CI131" s="52"/>
      <c r="CJ131" s="52"/>
      <c r="CK131" s="52"/>
      <c r="CL131" s="52"/>
      <c r="CM131" s="52"/>
      <c r="CN131" s="52"/>
      <c r="CO131" s="52"/>
      <c r="CP131" s="52"/>
      <c r="CQ131" s="52"/>
      <c r="CR131" s="52"/>
      <c r="CS131" s="52"/>
      <c r="CT131" s="52"/>
      <c r="CU131" s="52"/>
      <c r="CV131" s="52"/>
      <c r="CW131" s="52"/>
      <c r="CX131" s="52"/>
      <c r="CY131" s="52"/>
      <c r="CZ131" s="52"/>
      <c r="DA131" s="52"/>
      <c r="DB131" s="52"/>
      <c r="DC131" s="52"/>
      <c r="DD131" s="52"/>
      <c r="DE131" s="52"/>
      <c r="DF131" s="52"/>
      <c r="DG131" s="52"/>
      <c r="DH131" s="52"/>
      <c r="DI131" s="52"/>
      <c r="DJ131" s="52"/>
      <c r="DK131" s="52"/>
      <c r="DL131" s="52"/>
      <c r="DM131" s="52"/>
      <c r="DN131" s="52"/>
      <c r="DO131" s="52"/>
      <c r="DP131" s="52"/>
      <c r="DQ131" s="52"/>
      <c r="DR131" s="52"/>
      <c r="DS131" s="52"/>
      <c r="DT131" s="52"/>
      <c r="DU131" s="52"/>
      <c r="DV131" s="52"/>
      <c r="DW131" s="52"/>
      <c r="DX131" s="52"/>
      <c r="DY131" s="52"/>
      <c r="DZ131" s="52"/>
      <c r="EA131" s="52"/>
      <c r="EB131" s="52"/>
      <c r="EC131" s="52"/>
      <c r="ED131" s="52"/>
      <c r="EE131" s="52"/>
      <c r="EF131" s="52"/>
      <c r="EG131" s="52"/>
      <c r="EH131" s="52"/>
      <c r="EI131" s="52"/>
      <c r="EJ131" s="52"/>
      <c r="EK131" s="52"/>
      <c r="EL131" s="52"/>
      <c r="EM131" s="52"/>
      <c r="EN131" s="52"/>
      <c r="EO131" s="52"/>
      <c r="EP131" s="52"/>
      <c r="EQ131" s="52"/>
      <c r="ER131" s="52"/>
      <c r="ES131" s="52"/>
      <c r="ET131" s="52"/>
      <c r="EU131" s="52"/>
      <c r="EV131" s="52"/>
      <c r="EW131" s="52"/>
      <c r="EX131" s="52"/>
      <c r="EY131" s="52"/>
      <c r="EZ131" s="52"/>
      <c r="FA131" s="52"/>
      <c r="FB131" s="52"/>
      <c r="FC131" s="52"/>
      <c r="FD131" s="52"/>
      <c r="FE131" s="52"/>
      <c r="FF131" s="52"/>
      <c r="FG131" s="52"/>
      <c r="FH131" s="52"/>
      <c r="FI131" s="52"/>
      <c r="FJ131" s="52"/>
      <c r="FK131" s="52"/>
      <c r="FL131" s="52"/>
      <c r="FM131" s="52"/>
      <c r="FN131" s="52"/>
      <c r="FO131" s="52"/>
      <c r="FP131" s="52"/>
      <c r="FQ131" s="52"/>
      <c r="FR131" s="52"/>
      <c r="FS131" s="52"/>
      <c r="FT131" s="52"/>
      <c r="FU131" s="52"/>
      <c r="FV131" s="52"/>
      <c r="FW131" s="52"/>
      <c r="FX131" s="52"/>
      <c r="FY131" s="52"/>
      <c r="FZ131" s="52"/>
      <c r="GA131" s="52"/>
      <c r="GB131" s="52"/>
      <c r="GC131" s="52"/>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2"/>
      <c r="HP131" s="52"/>
      <c r="HQ131" s="52"/>
      <c r="HR131" s="52"/>
      <c r="HS131" s="52"/>
      <c r="HT131" s="52"/>
      <c r="HU131" s="52"/>
      <c r="HV131" s="52"/>
      <c r="HW131" s="52"/>
      <c r="HX131" s="52"/>
      <c r="HY131" s="52"/>
      <c r="HZ131" s="52"/>
      <c r="IA131" s="52"/>
      <c r="IB131" s="52"/>
      <c r="IC131" s="52"/>
      <c r="ID131" s="52"/>
      <c r="IE131" s="52"/>
      <c r="IF131" s="52"/>
      <c r="IG131" s="52"/>
      <c r="IH131" s="52"/>
      <c r="II131" s="52"/>
      <c r="IJ131" s="52"/>
      <c r="IK131" s="52"/>
      <c r="IL131" s="52"/>
      <c r="IM131" s="52"/>
      <c r="IN131" s="52"/>
      <c r="IO131" s="52"/>
      <c r="IP131" s="52"/>
      <c r="IQ131" s="52"/>
      <c r="IR131" s="52"/>
      <c r="IS131" s="52"/>
      <c r="IT131" s="52"/>
      <c r="IU131" s="52"/>
      <c r="IV131" s="52"/>
      <c r="IW131" s="52"/>
      <c r="IX131" s="52"/>
      <c r="IY131" s="52"/>
      <c r="IZ131" s="52"/>
    </row>
    <row r="132" spans="1:260" s="92" customFormat="1" x14ac:dyDescent="0.2">
      <c r="A132" s="51"/>
      <c r="B132" s="59">
        <f t="shared" si="4"/>
        <v>123</v>
      </c>
      <c r="C132" s="73" t="s">
        <v>1025</v>
      </c>
      <c r="D132" s="59"/>
      <c r="E132" s="96"/>
      <c r="F132" s="61" t="s">
        <v>531</v>
      </c>
      <c r="G132" s="61" t="s">
        <v>73</v>
      </c>
      <c r="H132" s="61" t="s">
        <v>557</v>
      </c>
      <c r="I132" s="61" t="s">
        <v>77</v>
      </c>
      <c r="J132" s="61" t="s">
        <v>583</v>
      </c>
      <c r="K132" s="97"/>
      <c r="L132" s="61" t="s">
        <v>295</v>
      </c>
      <c r="M132" s="61"/>
      <c r="N132" s="61"/>
      <c r="O132" s="63" t="s">
        <v>946</v>
      </c>
      <c r="P132" s="64" t="s">
        <v>844</v>
      </c>
      <c r="Q132" s="61" t="s">
        <v>295</v>
      </c>
      <c r="R132" s="96"/>
      <c r="S132" s="64" t="s">
        <v>1094</v>
      </c>
      <c r="T132" s="66"/>
      <c r="U132" s="64"/>
      <c r="V132" s="96"/>
      <c r="W132" s="64" t="s">
        <v>654</v>
      </c>
      <c r="X132" s="96"/>
      <c r="Y132" s="64" t="s">
        <v>991</v>
      </c>
      <c r="Z132" s="64"/>
      <c r="AA132" s="64"/>
      <c r="AB132" s="64"/>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52"/>
      <c r="CH132" s="52"/>
      <c r="CI132" s="52"/>
      <c r="CJ132" s="52"/>
      <c r="CK132" s="52"/>
      <c r="CL132" s="52"/>
      <c r="CM132" s="52"/>
      <c r="CN132" s="52"/>
      <c r="CO132" s="52"/>
      <c r="CP132" s="52"/>
      <c r="CQ132" s="52"/>
      <c r="CR132" s="52"/>
      <c r="CS132" s="52"/>
      <c r="CT132" s="52"/>
      <c r="CU132" s="52"/>
      <c r="CV132" s="52"/>
      <c r="CW132" s="52"/>
      <c r="CX132" s="52"/>
      <c r="CY132" s="52"/>
      <c r="CZ132" s="52"/>
      <c r="DA132" s="52"/>
      <c r="DB132" s="52"/>
      <c r="DC132" s="52"/>
      <c r="DD132" s="52"/>
      <c r="DE132" s="52"/>
      <c r="DF132" s="52"/>
      <c r="DG132" s="52"/>
      <c r="DH132" s="52"/>
      <c r="DI132" s="52"/>
      <c r="DJ132" s="52"/>
      <c r="DK132" s="52"/>
      <c r="DL132" s="52"/>
      <c r="DM132" s="52"/>
      <c r="DN132" s="52"/>
      <c r="DO132" s="52"/>
      <c r="DP132" s="52"/>
      <c r="DQ132" s="52"/>
      <c r="DR132" s="52"/>
      <c r="DS132" s="52"/>
      <c r="DT132" s="52"/>
      <c r="DU132" s="52"/>
      <c r="DV132" s="52"/>
      <c r="DW132" s="52"/>
      <c r="DX132" s="52"/>
      <c r="DY132" s="52"/>
      <c r="DZ132" s="52"/>
      <c r="EA132" s="52"/>
      <c r="EB132" s="52"/>
      <c r="EC132" s="52"/>
      <c r="ED132" s="52"/>
      <c r="EE132" s="52"/>
      <c r="EF132" s="52"/>
      <c r="EG132" s="52"/>
      <c r="EH132" s="52"/>
      <c r="EI132" s="52"/>
      <c r="EJ132" s="52"/>
      <c r="EK132" s="52"/>
      <c r="EL132" s="52"/>
      <c r="EM132" s="52"/>
      <c r="EN132" s="52"/>
      <c r="EO132" s="52"/>
      <c r="EP132" s="52"/>
      <c r="EQ132" s="52"/>
      <c r="ER132" s="52"/>
      <c r="ES132" s="52"/>
      <c r="ET132" s="52"/>
      <c r="EU132" s="52"/>
      <c r="EV132" s="52"/>
      <c r="EW132" s="52"/>
      <c r="EX132" s="52"/>
      <c r="EY132" s="52"/>
      <c r="EZ132" s="52"/>
      <c r="FA132" s="52"/>
      <c r="FB132" s="52"/>
      <c r="FC132" s="52"/>
      <c r="FD132" s="52"/>
      <c r="FE132" s="52"/>
      <c r="FF132" s="52"/>
      <c r="FG132" s="52"/>
      <c r="FH132" s="52"/>
      <c r="FI132" s="52"/>
      <c r="FJ132" s="52"/>
      <c r="FK132" s="52"/>
      <c r="FL132" s="52"/>
      <c r="FM132" s="52"/>
      <c r="FN132" s="52"/>
      <c r="FO132" s="52"/>
      <c r="FP132" s="52"/>
      <c r="FQ132" s="52"/>
      <c r="FR132" s="52"/>
      <c r="FS132" s="52"/>
      <c r="FT132" s="52"/>
      <c r="FU132" s="52"/>
      <c r="FV132" s="52"/>
      <c r="FW132" s="52"/>
      <c r="FX132" s="52"/>
      <c r="FY132" s="52"/>
      <c r="FZ132" s="52"/>
      <c r="GA132" s="52"/>
      <c r="GB132" s="52"/>
      <c r="GC132" s="52"/>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2"/>
      <c r="HP132" s="52"/>
      <c r="HQ132" s="52"/>
      <c r="HR132" s="52"/>
      <c r="HS132" s="52"/>
      <c r="HT132" s="52"/>
      <c r="HU132" s="52"/>
      <c r="HV132" s="52"/>
      <c r="HW132" s="52"/>
      <c r="HX132" s="52"/>
      <c r="HY132" s="52"/>
      <c r="HZ132" s="52"/>
      <c r="IA132" s="52"/>
      <c r="IB132" s="52"/>
      <c r="IC132" s="52"/>
      <c r="ID132" s="52"/>
      <c r="IE132" s="52"/>
      <c r="IF132" s="52"/>
      <c r="IG132" s="52"/>
      <c r="IH132" s="52"/>
      <c r="II132" s="52"/>
      <c r="IJ132" s="52"/>
      <c r="IK132" s="52"/>
      <c r="IL132" s="52"/>
      <c r="IM132" s="52"/>
      <c r="IN132" s="52"/>
      <c r="IO132" s="52"/>
      <c r="IP132" s="52"/>
      <c r="IQ132" s="52"/>
      <c r="IR132" s="52"/>
      <c r="IS132" s="52"/>
      <c r="IT132" s="52"/>
      <c r="IU132" s="52"/>
      <c r="IV132" s="52"/>
      <c r="IW132" s="52"/>
      <c r="IX132" s="52"/>
      <c r="IY132" s="52"/>
      <c r="IZ132" s="52"/>
    </row>
    <row r="133" spans="1:260" s="92" customFormat="1" x14ac:dyDescent="0.2">
      <c r="A133" s="51"/>
      <c r="B133" s="59">
        <f t="shared" si="4"/>
        <v>124</v>
      </c>
      <c r="C133" s="73" t="s">
        <v>1025</v>
      </c>
      <c r="D133" s="59"/>
      <c r="E133" s="96"/>
      <c r="F133" s="61" t="s">
        <v>532</v>
      </c>
      <c r="G133" s="61" t="s">
        <v>70</v>
      </c>
      <c r="H133" s="61" t="s">
        <v>558</v>
      </c>
      <c r="I133" s="61" t="s">
        <v>72</v>
      </c>
      <c r="J133" s="61" t="s">
        <v>584</v>
      </c>
      <c r="K133" s="97"/>
      <c r="L133" s="61" t="s">
        <v>595</v>
      </c>
      <c r="M133" s="61" t="s">
        <v>601</v>
      </c>
      <c r="N133" s="61"/>
      <c r="O133" s="63" t="s">
        <v>720</v>
      </c>
      <c r="P133" s="64" t="s">
        <v>845</v>
      </c>
      <c r="Q133" s="64" t="s">
        <v>629</v>
      </c>
      <c r="R133" s="96"/>
      <c r="S133" s="64" t="s">
        <v>1094</v>
      </c>
      <c r="T133" s="66"/>
      <c r="U133" s="64"/>
      <c r="V133" s="96"/>
      <c r="W133" s="64" t="s">
        <v>655</v>
      </c>
      <c r="X133" s="96"/>
      <c r="Y133" s="64" t="s">
        <v>983</v>
      </c>
      <c r="Z133" s="64"/>
      <c r="AA133" s="64"/>
      <c r="AB133" s="64"/>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52"/>
      <c r="CH133" s="52"/>
      <c r="CI133" s="52"/>
      <c r="CJ133" s="52"/>
      <c r="CK133" s="52"/>
      <c r="CL133" s="52"/>
      <c r="CM133" s="52"/>
      <c r="CN133" s="52"/>
      <c r="CO133" s="52"/>
      <c r="CP133" s="52"/>
      <c r="CQ133" s="52"/>
      <c r="CR133" s="52"/>
      <c r="CS133" s="52"/>
      <c r="CT133" s="52"/>
      <c r="CU133" s="52"/>
      <c r="CV133" s="52"/>
      <c r="CW133" s="52"/>
      <c r="CX133" s="52"/>
      <c r="CY133" s="52"/>
      <c r="CZ133" s="52"/>
      <c r="DA133" s="52"/>
      <c r="DB133" s="52"/>
      <c r="DC133" s="52"/>
      <c r="DD133" s="52"/>
      <c r="DE133" s="52"/>
      <c r="DF133" s="52"/>
      <c r="DG133" s="52"/>
      <c r="DH133" s="52"/>
      <c r="DI133" s="52"/>
      <c r="DJ133" s="52"/>
      <c r="DK133" s="52"/>
      <c r="DL133" s="52"/>
      <c r="DM133" s="52"/>
      <c r="DN133" s="52"/>
      <c r="DO133" s="52"/>
      <c r="DP133" s="52"/>
      <c r="DQ133" s="52"/>
      <c r="DR133" s="52"/>
      <c r="DS133" s="52"/>
      <c r="DT133" s="52"/>
      <c r="DU133" s="52"/>
      <c r="DV133" s="52"/>
      <c r="DW133" s="52"/>
      <c r="DX133" s="52"/>
      <c r="DY133" s="52"/>
      <c r="DZ133" s="52"/>
      <c r="EA133" s="52"/>
      <c r="EB133" s="52"/>
      <c r="EC133" s="52"/>
      <c r="ED133" s="52"/>
      <c r="EE133" s="52"/>
      <c r="EF133" s="52"/>
      <c r="EG133" s="52"/>
      <c r="EH133" s="52"/>
      <c r="EI133" s="52"/>
      <c r="EJ133" s="52"/>
      <c r="EK133" s="52"/>
      <c r="EL133" s="52"/>
      <c r="EM133" s="52"/>
      <c r="EN133" s="52"/>
      <c r="EO133" s="52"/>
      <c r="EP133" s="52"/>
      <c r="EQ133" s="52"/>
      <c r="ER133" s="52"/>
      <c r="ES133" s="52"/>
      <c r="ET133" s="52"/>
      <c r="EU133" s="52"/>
      <c r="EV133" s="52"/>
      <c r="EW133" s="52"/>
      <c r="EX133" s="52"/>
      <c r="EY133" s="52"/>
      <c r="EZ133" s="52"/>
      <c r="FA133" s="52"/>
      <c r="FB133" s="52"/>
      <c r="FC133" s="52"/>
      <c r="FD133" s="52"/>
      <c r="FE133" s="52"/>
      <c r="FF133" s="52"/>
      <c r="FG133" s="52"/>
      <c r="FH133" s="52"/>
      <c r="FI133" s="52"/>
      <c r="FJ133" s="52"/>
      <c r="FK133" s="52"/>
      <c r="FL133" s="52"/>
      <c r="FM133" s="52"/>
      <c r="FN133" s="52"/>
      <c r="FO133" s="52"/>
      <c r="FP133" s="52"/>
      <c r="FQ133" s="52"/>
      <c r="FR133" s="52"/>
      <c r="FS133" s="52"/>
      <c r="FT133" s="52"/>
      <c r="FU133" s="52"/>
      <c r="FV133" s="52"/>
      <c r="FW133" s="52"/>
      <c r="FX133" s="52"/>
      <c r="FY133" s="52"/>
      <c r="FZ133" s="52"/>
      <c r="GA133" s="52"/>
      <c r="GB133" s="52"/>
      <c r="GC133" s="52"/>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2"/>
      <c r="HP133" s="52"/>
      <c r="HQ133" s="52"/>
      <c r="HR133" s="52"/>
      <c r="HS133" s="52"/>
      <c r="HT133" s="52"/>
      <c r="HU133" s="52"/>
      <c r="HV133" s="52"/>
      <c r="HW133" s="52"/>
      <c r="HX133" s="52"/>
      <c r="HY133" s="52"/>
      <c r="HZ133" s="52"/>
      <c r="IA133" s="52"/>
      <c r="IB133" s="52"/>
      <c r="IC133" s="52"/>
      <c r="ID133" s="52"/>
      <c r="IE133" s="52"/>
      <c r="IF133" s="52"/>
      <c r="IG133" s="52"/>
      <c r="IH133" s="52"/>
      <c r="II133" s="52"/>
      <c r="IJ133" s="52"/>
      <c r="IK133" s="52"/>
      <c r="IL133" s="52"/>
      <c r="IM133" s="52"/>
      <c r="IN133" s="52"/>
      <c r="IO133" s="52"/>
      <c r="IP133" s="52"/>
      <c r="IQ133" s="52"/>
      <c r="IR133" s="52"/>
      <c r="IS133" s="52"/>
      <c r="IT133" s="52"/>
      <c r="IU133" s="52"/>
      <c r="IV133" s="52"/>
      <c r="IW133" s="52"/>
      <c r="IX133" s="52"/>
      <c r="IY133" s="52"/>
      <c r="IZ133" s="52"/>
    </row>
    <row r="134" spans="1:260" x14ac:dyDescent="0.2">
      <c r="B134" s="59">
        <f t="shared" si="4"/>
        <v>125</v>
      </c>
      <c r="C134" s="73" t="s">
        <v>1025</v>
      </c>
      <c r="D134" s="60">
        <v>0</v>
      </c>
      <c r="E134" s="56"/>
      <c r="F134" s="61" t="s">
        <v>68</v>
      </c>
      <c r="G134" s="61" t="s">
        <v>73</v>
      </c>
      <c r="H134" s="61" t="s">
        <v>95</v>
      </c>
      <c r="I134" s="61" t="s">
        <v>72</v>
      </c>
      <c r="J134" s="62" t="s">
        <v>246</v>
      </c>
      <c r="K134" s="58"/>
      <c r="L134" s="61" t="s">
        <v>1099</v>
      </c>
      <c r="M134" s="61"/>
      <c r="N134" s="62" t="s">
        <v>1098</v>
      </c>
      <c r="O134" s="68" t="s">
        <v>965</v>
      </c>
      <c r="P134" s="64" t="s">
        <v>790</v>
      </c>
      <c r="Q134" s="61"/>
      <c r="R134" s="56"/>
      <c r="S134" s="64" t="s">
        <v>20</v>
      </c>
      <c r="T134" s="66">
        <v>46219</v>
      </c>
      <c r="U134" s="64"/>
      <c r="V134" s="56"/>
      <c r="W134" s="64" t="s">
        <v>206</v>
      </c>
      <c r="X134" s="56"/>
      <c r="Y134" s="64" t="s">
        <v>1033</v>
      </c>
      <c r="Z134" s="64"/>
      <c r="AA134" s="64"/>
      <c r="AB134" s="64"/>
    </row>
    <row r="135" spans="1:260" x14ac:dyDescent="0.2">
      <c r="B135" s="59">
        <f t="shared" si="4"/>
        <v>126</v>
      </c>
      <c r="C135" s="73" t="s">
        <v>1025</v>
      </c>
      <c r="D135" s="59"/>
      <c r="E135" s="56"/>
      <c r="F135" s="61" t="s">
        <v>602</v>
      </c>
      <c r="G135" s="61" t="s">
        <v>73</v>
      </c>
      <c r="H135" s="61" t="s">
        <v>656</v>
      </c>
      <c r="I135" s="61" t="s">
        <v>72</v>
      </c>
      <c r="J135" s="61" t="s">
        <v>658</v>
      </c>
      <c r="K135" s="58"/>
      <c r="L135" s="61" t="s">
        <v>664</v>
      </c>
      <c r="M135" s="61" t="s">
        <v>665</v>
      </c>
      <c r="N135" s="61" t="s">
        <v>666</v>
      </c>
      <c r="O135" s="63" t="s">
        <v>947</v>
      </c>
      <c r="P135" s="64" t="s">
        <v>668</v>
      </c>
      <c r="Q135" s="64" t="s">
        <v>667</v>
      </c>
      <c r="R135" s="56"/>
      <c r="S135" s="64" t="s">
        <v>20</v>
      </c>
      <c r="T135" s="66">
        <v>46219</v>
      </c>
      <c r="U135" s="64" t="s">
        <v>972</v>
      </c>
      <c r="V135" s="56"/>
      <c r="W135" s="64" t="s">
        <v>669</v>
      </c>
      <c r="X135" s="56"/>
      <c r="Y135" s="64" t="s">
        <v>991</v>
      </c>
      <c r="Z135" s="64" t="s">
        <v>1123</v>
      </c>
      <c r="AA135" s="64" t="s">
        <v>295</v>
      </c>
      <c r="AB135" s="64" t="s">
        <v>295</v>
      </c>
    </row>
    <row r="136" spans="1:260" x14ac:dyDescent="0.2">
      <c r="B136" s="59">
        <f t="shared" ref="B136:B138" si="5">+B135+1</f>
        <v>127</v>
      </c>
      <c r="C136" s="73"/>
      <c r="D136" s="59"/>
      <c r="E136" s="56"/>
      <c r="F136" s="61" t="s">
        <v>604</v>
      </c>
      <c r="G136" s="61" t="s">
        <v>73</v>
      </c>
      <c r="H136" s="61" t="s">
        <v>681</v>
      </c>
      <c r="I136" s="61" t="s">
        <v>72</v>
      </c>
      <c r="J136" s="61" t="s">
        <v>660</v>
      </c>
      <c r="K136" s="58"/>
      <c r="L136" s="61" t="s">
        <v>683</v>
      </c>
      <c r="M136" s="61" t="s">
        <v>161</v>
      </c>
      <c r="N136" s="61" t="s">
        <v>685</v>
      </c>
      <c r="O136" s="61" t="s">
        <v>948</v>
      </c>
      <c r="P136" s="64" t="s">
        <v>686</v>
      </c>
      <c r="Q136" s="64" t="s">
        <v>848</v>
      </c>
      <c r="R136" s="56"/>
      <c r="S136" s="64" t="s">
        <v>20</v>
      </c>
      <c r="T136" s="66">
        <v>46211</v>
      </c>
      <c r="U136" s="64" t="s">
        <v>717</v>
      </c>
      <c r="V136" s="56"/>
      <c r="W136" s="64" t="s">
        <v>682</v>
      </c>
      <c r="X136" s="56"/>
      <c r="Y136" s="64" t="s">
        <v>991</v>
      </c>
      <c r="Z136" s="64"/>
      <c r="AA136" s="64"/>
      <c r="AB136" s="64"/>
    </row>
    <row r="137" spans="1:260" s="92" customFormat="1" x14ac:dyDescent="0.2">
      <c r="A137" s="51"/>
      <c r="B137" s="59">
        <f t="shared" si="5"/>
        <v>128</v>
      </c>
      <c r="C137" s="73" t="s">
        <v>1025</v>
      </c>
      <c r="D137" s="59"/>
      <c r="E137" s="96"/>
      <c r="F137" s="61" t="s">
        <v>605</v>
      </c>
      <c r="G137" s="61" t="s">
        <v>73</v>
      </c>
      <c r="H137" s="61" t="s">
        <v>688</v>
      </c>
      <c r="I137" s="61" t="s">
        <v>75</v>
      </c>
      <c r="J137" s="61" t="s">
        <v>661</v>
      </c>
      <c r="K137" s="97"/>
      <c r="L137" s="61" t="s">
        <v>821</v>
      </c>
      <c r="M137" s="61" t="s">
        <v>822</v>
      </c>
      <c r="N137" s="61"/>
      <c r="O137" s="61" t="s">
        <v>719</v>
      </c>
      <c r="P137" s="64" t="s">
        <v>846</v>
      </c>
      <c r="Q137" s="65" t="s">
        <v>820</v>
      </c>
      <c r="R137" s="96"/>
      <c r="S137" s="64" t="s">
        <v>1094</v>
      </c>
      <c r="T137" s="66"/>
      <c r="U137" s="64"/>
      <c r="V137" s="96"/>
      <c r="W137" s="64" t="s">
        <v>690</v>
      </c>
      <c r="X137" s="96"/>
      <c r="Y137" s="64" t="s">
        <v>983</v>
      </c>
      <c r="Z137" s="64"/>
      <c r="AA137" s="64"/>
      <c r="AB137" s="64"/>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52"/>
      <c r="CH137" s="52"/>
      <c r="CI137" s="52"/>
      <c r="CJ137" s="52"/>
      <c r="CK137" s="52"/>
      <c r="CL137" s="52"/>
      <c r="CM137" s="52"/>
      <c r="CN137" s="52"/>
      <c r="CO137" s="52"/>
      <c r="CP137" s="52"/>
      <c r="CQ137" s="52"/>
      <c r="CR137" s="52"/>
      <c r="CS137" s="52"/>
      <c r="CT137" s="52"/>
      <c r="CU137" s="52"/>
      <c r="CV137" s="52"/>
      <c r="CW137" s="52"/>
      <c r="CX137" s="52"/>
      <c r="CY137" s="52"/>
      <c r="CZ137" s="52"/>
      <c r="DA137" s="52"/>
      <c r="DB137" s="52"/>
      <c r="DC137" s="52"/>
      <c r="DD137" s="52"/>
      <c r="DE137" s="52"/>
      <c r="DF137" s="52"/>
      <c r="DG137" s="52"/>
      <c r="DH137" s="52"/>
      <c r="DI137" s="52"/>
      <c r="DJ137" s="52"/>
      <c r="DK137" s="52"/>
      <c r="DL137" s="52"/>
      <c r="DM137" s="52"/>
      <c r="DN137" s="52"/>
      <c r="DO137" s="52"/>
      <c r="DP137" s="52"/>
      <c r="DQ137" s="52"/>
      <c r="DR137" s="52"/>
      <c r="DS137" s="52"/>
      <c r="DT137" s="52"/>
      <c r="DU137" s="52"/>
      <c r="DV137" s="52"/>
      <c r="DW137" s="52"/>
      <c r="DX137" s="52"/>
      <c r="DY137" s="52"/>
      <c r="DZ137" s="52"/>
      <c r="EA137" s="52"/>
      <c r="EB137" s="52"/>
      <c r="EC137" s="52"/>
      <c r="ED137" s="52"/>
      <c r="EE137" s="52"/>
      <c r="EF137" s="52"/>
      <c r="EG137" s="52"/>
      <c r="EH137" s="52"/>
      <c r="EI137" s="52"/>
      <c r="EJ137" s="52"/>
      <c r="EK137" s="52"/>
      <c r="EL137" s="52"/>
      <c r="EM137" s="52"/>
      <c r="EN137" s="52"/>
      <c r="EO137" s="52"/>
      <c r="EP137" s="52"/>
      <c r="EQ137" s="52"/>
      <c r="ER137" s="52"/>
      <c r="ES137" s="52"/>
      <c r="ET137" s="52"/>
      <c r="EU137" s="52"/>
      <c r="EV137" s="52"/>
      <c r="EW137" s="52"/>
      <c r="EX137" s="52"/>
      <c r="EY137" s="52"/>
      <c r="EZ137" s="52"/>
      <c r="FA137" s="52"/>
      <c r="FB137" s="52"/>
      <c r="FC137" s="52"/>
      <c r="FD137" s="52"/>
      <c r="FE137" s="52"/>
      <c r="FF137" s="52"/>
      <c r="FG137" s="52"/>
      <c r="FH137" s="52"/>
      <c r="FI137" s="52"/>
      <c r="FJ137" s="52"/>
      <c r="FK137" s="52"/>
      <c r="FL137" s="52"/>
      <c r="FM137" s="52"/>
      <c r="FN137" s="52"/>
      <c r="FO137" s="52"/>
      <c r="FP137" s="52"/>
      <c r="FQ137" s="52"/>
      <c r="FR137" s="52"/>
      <c r="FS137" s="52"/>
      <c r="FT137" s="52"/>
      <c r="FU137" s="52"/>
      <c r="FV137" s="52"/>
      <c r="FW137" s="52"/>
      <c r="FX137" s="52"/>
      <c r="FY137" s="52"/>
      <c r="FZ137" s="52"/>
      <c r="GA137" s="52"/>
      <c r="GB137" s="52"/>
      <c r="GC137" s="52"/>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2"/>
      <c r="HP137" s="52"/>
      <c r="HQ137" s="52"/>
      <c r="HR137" s="52"/>
      <c r="HS137" s="52"/>
      <c r="HT137" s="52"/>
      <c r="HU137" s="52"/>
      <c r="HV137" s="52"/>
      <c r="HW137" s="52"/>
      <c r="HX137" s="52"/>
      <c r="HY137" s="52"/>
      <c r="HZ137" s="52"/>
      <c r="IA137" s="52"/>
      <c r="IB137" s="52"/>
      <c r="IC137" s="52"/>
      <c r="ID137" s="52"/>
      <c r="IE137" s="52"/>
      <c r="IF137" s="52"/>
      <c r="IG137" s="52"/>
      <c r="IH137" s="52"/>
      <c r="II137" s="52"/>
      <c r="IJ137" s="52"/>
      <c r="IK137" s="52"/>
      <c r="IL137" s="52"/>
      <c r="IM137" s="52"/>
      <c r="IN137" s="52"/>
      <c r="IO137" s="52"/>
      <c r="IP137" s="52"/>
      <c r="IQ137" s="52"/>
      <c r="IR137" s="52"/>
      <c r="IS137" s="52"/>
      <c r="IT137" s="52"/>
      <c r="IU137" s="52"/>
      <c r="IV137" s="52"/>
      <c r="IW137" s="52"/>
      <c r="IX137" s="52"/>
      <c r="IY137" s="52"/>
      <c r="IZ137" s="52"/>
    </row>
    <row r="138" spans="1:260" s="69" customFormat="1" x14ac:dyDescent="0.2">
      <c r="A138" s="70"/>
      <c r="B138" s="59">
        <f t="shared" si="5"/>
        <v>129</v>
      </c>
      <c r="C138" s="73"/>
      <c r="D138" s="59"/>
      <c r="E138" s="71"/>
      <c r="F138" s="61" t="s">
        <v>606</v>
      </c>
      <c r="G138" s="61" t="s">
        <v>73</v>
      </c>
      <c r="H138" s="61" t="s">
        <v>657</v>
      </c>
      <c r="I138" s="61" t="s">
        <v>72</v>
      </c>
      <c r="J138" s="62" t="s">
        <v>662</v>
      </c>
      <c r="K138" s="72"/>
      <c r="L138" s="61" t="s">
        <v>671</v>
      </c>
      <c r="M138" s="61" t="s">
        <v>137</v>
      </c>
      <c r="N138" s="61" t="s">
        <v>673</v>
      </c>
      <c r="O138" s="61" t="s">
        <v>718</v>
      </c>
      <c r="P138" s="64" t="s">
        <v>849</v>
      </c>
      <c r="Q138" s="65" t="s">
        <v>847</v>
      </c>
      <c r="R138" s="71"/>
      <c r="S138" s="64" t="s">
        <v>20</v>
      </c>
      <c r="T138" s="66">
        <v>46210</v>
      </c>
      <c r="U138" s="64" t="s">
        <v>717</v>
      </c>
      <c r="V138" s="71"/>
      <c r="W138" s="64" t="s">
        <v>695</v>
      </c>
      <c r="X138" s="71"/>
      <c r="Y138" s="64" t="s">
        <v>991</v>
      </c>
      <c r="Z138" s="64"/>
      <c r="AA138" s="64"/>
      <c r="AB138" s="64"/>
    </row>
    <row r="139" spans="1:260" s="92" customFormat="1" x14ac:dyDescent="0.2">
      <c r="A139" s="51"/>
      <c r="B139" s="59">
        <f t="shared" ref="B139:B141" si="6">+B138+1</f>
        <v>130</v>
      </c>
      <c r="C139" s="73" t="s">
        <v>1025</v>
      </c>
      <c r="D139" s="59"/>
      <c r="E139" s="96"/>
      <c r="F139" s="61" t="s">
        <v>607</v>
      </c>
      <c r="G139" s="61" t="s">
        <v>73</v>
      </c>
      <c r="H139" s="61" t="s">
        <v>696</v>
      </c>
      <c r="I139" s="61" t="s">
        <v>72</v>
      </c>
      <c r="J139" s="61" t="s">
        <v>663</v>
      </c>
      <c r="K139" s="97"/>
      <c r="L139" s="61" t="s">
        <v>295</v>
      </c>
      <c r="M139" s="61"/>
      <c r="N139" s="61"/>
      <c r="O139" s="61" t="s">
        <v>697</v>
      </c>
      <c r="P139" s="64" t="s">
        <v>747</v>
      </c>
      <c r="Q139" s="61" t="s">
        <v>295</v>
      </c>
      <c r="R139" s="96"/>
      <c r="S139" s="64" t="s">
        <v>1094</v>
      </c>
      <c r="T139" s="66"/>
      <c r="U139" s="64"/>
      <c r="V139" s="96"/>
      <c r="W139" s="64" t="s">
        <v>698</v>
      </c>
      <c r="X139" s="96"/>
      <c r="Y139" s="64" t="s">
        <v>991</v>
      </c>
      <c r="Z139" s="64"/>
      <c r="AA139" s="64"/>
      <c r="AB139" s="64"/>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52"/>
      <c r="CH139" s="52"/>
      <c r="CI139" s="52"/>
      <c r="CJ139" s="52"/>
      <c r="CK139" s="52"/>
      <c r="CL139" s="52"/>
      <c r="CM139" s="52"/>
      <c r="CN139" s="52"/>
      <c r="CO139" s="52"/>
      <c r="CP139" s="52"/>
      <c r="CQ139" s="52"/>
      <c r="CR139" s="52"/>
      <c r="CS139" s="52"/>
      <c r="CT139" s="52"/>
      <c r="CU139" s="52"/>
      <c r="CV139" s="52"/>
      <c r="CW139" s="52"/>
      <c r="CX139" s="52"/>
      <c r="CY139" s="52"/>
      <c r="CZ139" s="52"/>
      <c r="DA139" s="52"/>
      <c r="DB139" s="52"/>
      <c r="DC139" s="52"/>
      <c r="DD139" s="52"/>
      <c r="DE139" s="52"/>
      <c r="DF139" s="52"/>
      <c r="DG139" s="52"/>
      <c r="DH139" s="52"/>
      <c r="DI139" s="52"/>
      <c r="DJ139" s="52"/>
      <c r="DK139" s="52"/>
      <c r="DL139" s="52"/>
      <c r="DM139" s="52"/>
      <c r="DN139" s="52"/>
      <c r="DO139" s="52"/>
      <c r="DP139" s="52"/>
      <c r="DQ139" s="52"/>
      <c r="DR139" s="52"/>
      <c r="DS139" s="52"/>
      <c r="DT139" s="52"/>
      <c r="DU139" s="52"/>
      <c r="DV139" s="52"/>
      <c r="DW139" s="52"/>
      <c r="DX139" s="52"/>
      <c r="DY139" s="52"/>
      <c r="DZ139" s="52"/>
      <c r="EA139" s="52"/>
      <c r="EB139" s="52"/>
      <c r="EC139" s="52"/>
      <c r="ED139" s="52"/>
      <c r="EE139" s="52"/>
      <c r="EF139" s="52"/>
      <c r="EG139" s="52"/>
      <c r="EH139" s="52"/>
      <c r="EI139" s="52"/>
      <c r="EJ139" s="52"/>
      <c r="EK139" s="52"/>
      <c r="EL139" s="52"/>
      <c r="EM139" s="52"/>
      <c r="EN139" s="52"/>
      <c r="EO139" s="52"/>
      <c r="EP139" s="52"/>
      <c r="EQ139" s="52"/>
      <c r="ER139" s="52"/>
      <c r="ES139" s="52"/>
      <c r="ET139" s="52"/>
      <c r="EU139" s="52"/>
      <c r="EV139" s="52"/>
      <c r="EW139" s="52"/>
      <c r="EX139" s="52"/>
      <c r="EY139" s="52"/>
      <c r="EZ139" s="52"/>
      <c r="FA139" s="52"/>
      <c r="FB139" s="52"/>
      <c r="FC139" s="52"/>
      <c r="FD139" s="52"/>
      <c r="FE139" s="52"/>
      <c r="FF139" s="52"/>
      <c r="FG139" s="52"/>
      <c r="FH139" s="52"/>
      <c r="FI139" s="52"/>
      <c r="FJ139" s="52"/>
      <c r="FK139" s="52"/>
      <c r="FL139" s="52"/>
      <c r="FM139" s="52"/>
      <c r="FN139" s="52"/>
      <c r="FO139" s="52"/>
      <c r="FP139" s="52"/>
      <c r="FQ139" s="52"/>
      <c r="FR139" s="52"/>
      <c r="FS139" s="52"/>
      <c r="FT139" s="52"/>
      <c r="FU139" s="52"/>
      <c r="FV139" s="52"/>
      <c r="FW139" s="52"/>
      <c r="FX139" s="52"/>
      <c r="FY139" s="52"/>
      <c r="FZ139" s="52"/>
      <c r="GA139" s="52"/>
      <c r="GB139" s="52"/>
      <c r="GC139" s="52"/>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2"/>
      <c r="HP139" s="52"/>
      <c r="HQ139" s="52"/>
      <c r="HR139" s="52"/>
      <c r="HS139" s="52"/>
      <c r="HT139" s="52"/>
      <c r="HU139" s="52"/>
      <c r="HV139" s="52"/>
      <c r="HW139" s="52"/>
      <c r="HX139" s="52"/>
      <c r="HY139" s="52"/>
      <c r="HZ139" s="52"/>
      <c r="IA139" s="52"/>
      <c r="IB139" s="52"/>
      <c r="IC139" s="52"/>
      <c r="ID139" s="52"/>
      <c r="IE139" s="52"/>
      <c r="IF139" s="52"/>
      <c r="IG139" s="52"/>
      <c r="IH139" s="52"/>
      <c r="II139" s="52"/>
      <c r="IJ139" s="52"/>
      <c r="IK139" s="52"/>
      <c r="IL139" s="52"/>
      <c r="IM139" s="52"/>
      <c r="IN139" s="52"/>
      <c r="IO139" s="52"/>
      <c r="IP139" s="52"/>
      <c r="IQ139" s="52"/>
      <c r="IR139" s="52"/>
      <c r="IS139" s="52"/>
      <c r="IT139" s="52"/>
      <c r="IU139" s="52"/>
      <c r="IV139" s="52"/>
      <c r="IW139" s="52"/>
      <c r="IX139" s="52"/>
      <c r="IY139" s="52"/>
      <c r="IZ139" s="52"/>
    </row>
    <row r="140" spans="1:260" s="69" customFormat="1" x14ac:dyDescent="0.2">
      <c r="A140" s="70"/>
      <c r="B140" s="59">
        <f t="shared" si="6"/>
        <v>131</v>
      </c>
      <c r="C140" s="73"/>
      <c r="D140" s="59"/>
      <c r="E140" s="71"/>
      <c r="F140" s="61" t="s">
        <v>997</v>
      </c>
      <c r="G140" s="61" t="s">
        <v>73</v>
      </c>
      <c r="H140" s="61" t="s">
        <v>1002</v>
      </c>
      <c r="I140" s="61" t="s">
        <v>72</v>
      </c>
      <c r="J140" s="62" t="s">
        <v>998</v>
      </c>
      <c r="K140" s="72"/>
      <c r="L140" s="61" t="s">
        <v>999</v>
      </c>
      <c r="M140" s="61" t="s">
        <v>137</v>
      </c>
      <c r="N140" s="61" t="s">
        <v>1000</v>
      </c>
      <c r="O140" s="61"/>
      <c r="P140" s="64"/>
      <c r="Q140" s="65"/>
      <c r="R140" s="71"/>
      <c r="S140" s="64" t="s">
        <v>1001</v>
      </c>
      <c r="T140" s="66">
        <v>46210</v>
      </c>
      <c r="U140" s="64" t="s">
        <v>716</v>
      </c>
      <c r="V140" s="71"/>
      <c r="W140" s="64" t="s">
        <v>1003</v>
      </c>
      <c r="X140" s="71"/>
      <c r="Y140" s="64" t="s">
        <v>1004</v>
      </c>
      <c r="Z140" s="64" t="s">
        <v>1115</v>
      </c>
      <c r="AA140" s="64" t="s">
        <v>1111</v>
      </c>
      <c r="AB140" s="64"/>
    </row>
    <row r="141" spans="1:260" s="54" customFormat="1" x14ac:dyDescent="0.2">
      <c r="A141" s="89"/>
      <c r="B141" s="59">
        <f t="shared" si="6"/>
        <v>132</v>
      </c>
      <c r="C141" s="73"/>
      <c r="D141" s="90"/>
      <c r="E141" s="58"/>
      <c r="F141" s="61" t="s">
        <v>1007</v>
      </c>
      <c r="G141" s="61" t="s">
        <v>73</v>
      </c>
      <c r="H141" s="61" t="s">
        <v>1010</v>
      </c>
      <c r="I141" s="61" t="s">
        <v>72</v>
      </c>
      <c r="J141" s="62" t="s">
        <v>1012</v>
      </c>
      <c r="K141" s="58"/>
      <c r="L141" s="61" t="s">
        <v>1008</v>
      </c>
      <c r="M141" s="61" t="s">
        <v>1009</v>
      </c>
      <c r="N141" s="61" t="s">
        <v>1013</v>
      </c>
      <c r="O141" s="61"/>
      <c r="P141" s="61"/>
      <c r="Q141" s="61"/>
      <c r="R141" s="58"/>
      <c r="S141" s="61" t="s">
        <v>1001</v>
      </c>
      <c r="T141" s="66">
        <v>46210</v>
      </c>
      <c r="U141" s="61" t="s">
        <v>972</v>
      </c>
      <c r="V141" s="58"/>
      <c r="W141" s="61" t="s">
        <v>1011</v>
      </c>
      <c r="X141" s="58"/>
      <c r="Y141" s="64"/>
      <c r="Z141" s="64" t="s">
        <v>1121</v>
      </c>
      <c r="AA141" s="64" t="s">
        <v>295</v>
      </c>
      <c r="AB141" s="64" t="s">
        <v>295</v>
      </c>
    </row>
    <row r="142" spans="1:260" s="54" customFormat="1" x14ac:dyDescent="0.2">
      <c r="A142" s="89"/>
      <c r="B142" s="59">
        <f>+B141+1</f>
        <v>133</v>
      </c>
      <c r="C142" s="73" t="s">
        <v>1025</v>
      </c>
      <c r="D142" s="90"/>
      <c r="E142" s="58"/>
      <c r="F142" s="61" t="s">
        <v>1101</v>
      </c>
      <c r="G142" s="61" t="s">
        <v>70</v>
      </c>
      <c r="H142" s="61" t="s">
        <v>1103</v>
      </c>
      <c r="I142" s="61" t="s">
        <v>72</v>
      </c>
      <c r="J142" s="62" t="s">
        <v>1104</v>
      </c>
      <c r="K142" s="58"/>
      <c r="L142" s="61"/>
      <c r="M142" s="61"/>
      <c r="N142" s="61"/>
      <c r="O142" s="61"/>
      <c r="P142" s="61"/>
      <c r="Q142" s="61"/>
      <c r="R142" s="58"/>
      <c r="S142" s="61" t="s">
        <v>1106</v>
      </c>
      <c r="T142" s="66"/>
      <c r="U142" s="61" t="s">
        <v>716</v>
      </c>
      <c r="V142" s="58"/>
      <c r="W142" s="61" t="s">
        <v>1102</v>
      </c>
      <c r="X142" s="58"/>
      <c r="Y142" s="64" t="s">
        <v>1105</v>
      </c>
      <c r="Z142" s="64" t="s">
        <v>1119</v>
      </c>
      <c r="AA142" s="64" t="s">
        <v>1111</v>
      </c>
      <c r="AB142" s="64"/>
    </row>
    <row r="143" spans="1:260" s="54" customFormat="1" x14ac:dyDescent="0.2">
      <c r="A143" s="89"/>
      <c r="B143" s="59">
        <f>+B142+1</f>
        <v>134</v>
      </c>
      <c r="C143" s="73" t="s">
        <v>1025</v>
      </c>
      <c r="D143" s="90"/>
      <c r="E143" s="58"/>
      <c r="F143" s="61" t="s">
        <v>1112</v>
      </c>
      <c r="G143" s="61" t="s">
        <v>70</v>
      </c>
      <c r="H143" s="61" t="s">
        <v>1110</v>
      </c>
      <c r="I143" s="61" t="s">
        <v>72</v>
      </c>
      <c r="J143" s="62"/>
      <c r="K143" s="58"/>
      <c r="L143" s="61" t="s">
        <v>1107</v>
      </c>
      <c r="M143" s="61" t="s">
        <v>1009</v>
      </c>
      <c r="N143" s="61"/>
      <c r="O143" s="61"/>
      <c r="P143" s="61"/>
      <c r="Q143" s="61"/>
      <c r="R143" s="58"/>
      <c r="S143" s="61" t="s">
        <v>1001</v>
      </c>
      <c r="T143" s="66"/>
      <c r="U143" s="61" t="s">
        <v>716</v>
      </c>
      <c r="V143" s="58"/>
      <c r="W143" s="61" t="s">
        <v>1108</v>
      </c>
      <c r="X143" s="58"/>
      <c r="Y143" s="64" t="s">
        <v>1109</v>
      </c>
      <c r="Z143" s="64" t="s">
        <v>1120</v>
      </c>
      <c r="AA143" s="64" t="s">
        <v>1111</v>
      </c>
      <c r="AB143" s="64"/>
    </row>
    <row r="144" spans="1:260" s="54" customFormat="1" x14ac:dyDescent="0.2">
      <c r="A144" s="89"/>
      <c r="B144" s="59">
        <f>+B143+1</f>
        <v>135</v>
      </c>
      <c r="C144" s="73"/>
      <c r="D144" s="90"/>
      <c r="E144" s="58"/>
      <c r="F144" s="61"/>
      <c r="G144" s="61"/>
      <c r="H144" s="61"/>
      <c r="I144" s="61"/>
      <c r="J144" s="62"/>
      <c r="K144" s="58"/>
      <c r="L144" s="61"/>
      <c r="M144" s="61"/>
      <c r="N144" s="61"/>
      <c r="O144" s="61"/>
      <c r="P144" s="61"/>
      <c r="Q144" s="61"/>
      <c r="R144" s="58"/>
      <c r="S144" s="61"/>
      <c r="T144" s="66"/>
      <c r="U144" s="61"/>
      <c r="V144" s="58"/>
      <c r="W144" s="61"/>
      <c r="X144" s="58"/>
      <c r="Y144" s="64"/>
      <c r="Z144" s="64"/>
      <c r="AA144" s="64"/>
      <c r="AB144" s="64"/>
    </row>
    <row r="145" spans="1:28" s="54" customFormat="1" x14ac:dyDescent="0.2">
      <c r="A145" s="89"/>
      <c r="B145" s="59">
        <f>+B144+1</f>
        <v>136</v>
      </c>
      <c r="C145" s="73"/>
      <c r="D145" s="90"/>
      <c r="E145" s="58"/>
      <c r="F145" s="61"/>
      <c r="G145" s="61"/>
      <c r="H145" s="61"/>
      <c r="I145" s="61"/>
      <c r="J145" s="62"/>
      <c r="K145" s="58"/>
      <c r="L145" s="61"/>
      <c r="M145" s="61"/>
      <c r="N145" s="61"/>
      <c r="O145" s="61"/>
      <c r="P145" s="61"/>
      <c r="Q145" s="61"/>
      <c r="R145" s="58"/>
      <c r="S145" s="61"/>
      <c r="T145" s="66"/>
      <c r="U145" s="61"/>
      <c r="V145" s="58"/>
      <c r="W145" s="61"/>
      <c r="X145" s="58"/>
      <c r="Y145" s="64"/>
      <c r="Z145" s="64"/>
      <c r="AA145" s="64"/>
      <c r="AB145" s="64"/>
    </row>
    <row r="146" spans="1:28" x14ac:dyDescent="0.2">
      <c r="B146" s="74" t="s">
        <v>1014</v>
      </c>
      <c r="C146" s="74"/>
      <c r="D146" s="74"/>
      <c r="E146" s="74"/>
      <c r="F146" s="74"/>
      <c r="G146" s="75">
        <v>1</v>
      </c>
      <c r="H146" s="75">
        <v>1</v>
      </c>
      <c r="I146" s="75">
        <v>1</v>
      </c>
      <c r="J146" s="75">
        <v>1</v>
      </c>
      <c r="K146" s="75">
        <v>1</v>
      </c>
      <c r="L146" s="75">
        <v>1</v>
      </c>
      <c r="M146" s="75">
        <v>1</v>
      </c>
      <c r="N146" s="75">
        <v>1</v>
      </c>
      <c r="O146" s="75">
        <v>1</v>
      </c>
      <c r="P146" s="76">
        <v>1</v>
      </c>
      <c r="Q146" s="76">
        <v>1</v>
      </c>
      <c r="R146" s="76">
        <v>1</v>
      </c>
      <c r="S146" s="76">
        <v>1</v>
      </c>
      <c r="T146" s="76">
        <v>1</v>
      </c>
      <c r="U146" s="76">
        <v>1</v>
      </c>
      <c r="V146" s="76">
        <v>1</v>
      </c>
      <c r="W146" s="76">
        <v>1</v>
      </c>
      <c r="X146" s="76">
        <v>1</v>
      </c>
      <c r="Y146" s="76">
        <v>1</v>
      </c>
      <c r="Z146" s="76">
        <v>1</v>
      </c>
      <c r="AA146" s="76">
        <v>1</v>
      </c>
      <c r="AB146" s="76">
        <v>1</v>
      </c>
    </row>
    <row r="147" spans="1:28" x14ac:dyDescent="0.2">
      <c r="B147" s="67"/>
      <c r="C147" s="67"/>
      <c r="D147" s="67"/>
    </row>
    <row r="148" spans="1:28" x14ac:dyDescent="0.2">
      <c r="B148" s="67"/>
      <c r="C148" s="67"/>
      <c r="D148" s="67"/>
    </row>
    <row r="149" spans="1:28" x14ac:dyDescent="0.2">
      <c r="B149" s="67"/>
      <c r="C149" s="67"/>
      <c r="D149" s="67"/>
    </row>
    <row r="150" spans="1:28" x14ac:dyDescent="0.2">
      <c r="B150" s="67"/>
      <c r="C150" s="67"/>
      <c r="D150" s="67"/>
    </row>
    <row r="151" spans="1:28" x14ac:dyDescent="0.2">
      <c r="B151" s="67"/>
      <c r="C151" s="67"/>
      <c r="D151" s="67"/>
    </row>
    <row r="152" spans="1:28" x14ac:dyDescent="0.2">
      <c r="B152" s="67"/>
      <c r="C152" s="67"/>
      <c r="D152" s="67"/>
    </row>
    <row r="153" spans="1:28" x14ac:dyDescent="0.2">
      <c r="B153" s="67"/>
      <c r="C153" s="67"/>
      <c r="D153" s="67"/>
    </row>
    <row r="154" spans="1:28" x14ac:dyDescent="0.2">
      <c r="B154" s="67"/>
      <c r="C154" s="67"/>
      <c r="D154" s="67"/>
    </row>
    <row r="155" spans="1:28" x14ac:dyDescent="0.2">
      <c r="B155" s="67"/>
      <c r="C155" s="67"/>
      <c r="D155" s="67"/>
    </row>
    <row r="156" spans="1:28" x14ac:dyDescent="0.2">
      <c r="B156" s="67"/>
      <c r="C156" s="67"/>
      <c r="D156" s="67"/>
    </row>
    <row r="157" spans="1:28" x14ac:dyDescent="0.2">
      <c r="B157" s="67"/>
      <c r="C157" s="67"/>
      <c r="D157" s="67"/>
    </row>
    <row r="158" spans="1:28" x14ac:dyDescent="0.2">
      <c r="B158" s="67"/>
      <c r="C158" s="67"/>
      <c r="D158" s="67"/>
    </row>
    <row r="159" spans="1:28" x14ac:dyDescent="0.2">
      <c r="B159" s="67"/>
      <c r="C159" s="67"/>
      <c r="D159" s="67"/>
    </row>
    <row r="160" spans="1:28" x14ac:dyDescent="0.2">
      <c r="B160" s="67"/>
      <c r="C160" s="67"/>
      <c r="D160" s="67"/>
    </row>
    <row r="161" spans="2:4" x14ac:dyDescent="0.2">
      <c r="B161" s="67"/>
      <c r="C161" s="67"/>
      <c r="D161" s="67"/>
    </row>
    <row r="162" spans="2:4" x14ac:dyDescent="0.2">
      <c r="B162" s="67"/>
      <c r="C162" s="67"/>
      <c r="D162" s="67"/>
    </row>
    <row r="163" spans="2:4" x14ac:dyDescent="0.2">
      <c r="B163" s="67"/>
      <c r="C163" s="67"/>
      <c r="D163" s="67"/>
    </row>
    <row r="164" spans="2:4" x14ac:dyDescent="0.2">
      <c r="B164" s="67"/>
      <c r="C164" s="67"/>
      <c r="D164" s="67"/>
    </row>
    <row r="165" spans="2:4" x14ac:dyDescent="0.2">
      <c r="B165" s="67"/>
      <c r="C165" s="67"/>
      <c r="D165" s="67"/>
    </row>
    <row r="166" spans="2:4" x14ac:dyDescent="0.2">
      <c r="B166" s="67"/>
      <c r="C166" s="67"/>
      <c r="D166" s="67"/>
    </row>
    <row r="167" spans="2:4" x14ac:dyDescent="0.2">
      <c r="B167" s="67"/>
      <c r="C167" s="67"/>
      <c r="D167" s="67"/>
    </row>
    <row r="168" spans="2:4" x14ac:dyDescent="0.2">
      <c r="B168" s="67"/>
      <c r="C168" s="67"/>
      <c r="D168" s="67"/>
    </row>
    <row r="169" spans="2:4" x14ac:dyDescent="0.2">
      <c r="B169" s="67"/>
      <c r="C169" s="67"/>
      <c r="D169" s="67"/>
    </row>
    <row r="170" spans="2:4" x14ac:dyDescent="0.2">
      <c r="B170" s="67"/>
      <c r="C170" s="67"/>
      <c r="D170" s="67"/>
    </row>
    <row r="171" spans="2:4" x14ac:dyDescent="0.2">
      <c r="B171" s="67"/>
      <c r="C171" s="67"/>
      <c r="D171" s="67"/>
    </row>
    <row r="172" spans="2:4" x14ac:dyDescent="0.2">
      <c r="B172" s="67"/>
      <c r="C172" s="67"/>
      <c r="D172" s="67"/>
    </row>
    <row r="173" spans="2:4" x14ac:dyDescent="0.2">
      <c r="B173" s="67"/>
      <c r="C173" s="67"/>
      <c r="D173" s="67"/>
    </row>
    <row r="174" spans="2:4" x14ac:dyDescent="0.2">
      <c r="B174" s="67"/>
      <c r="C174" s="67"/>
      <c r="D174" s="67"/>
    </row>
    <row r="175" spans="2:4" x14ac:dyDescent="0.2">
      <c r="B175" s="67"/>
      <c r="C175" s="67"/>
      <c r="D175" s="67"/>
    </row>
    <row r="176" spans="2:4" x14ac:dyDescent="0.2">
      <c r="B176" s="67"/>
      <c r="C176" s="67"/>
      <c r="D176" s="67"/>
    </row>
    <row r="177" spans="2:4" x14ac:dyDescent="0.2">
      <c r="B177" s="67"/>
      <c r="C177" s="67"/>
      <c r="D177" s="67"/>
    </row>
    <row r="178" spans="2:4" x14ac:dyDescent="0.2">
      <c r="B178" s="67"/>
      <c r="C178" s="67"/>
      <c r="D178" s="67"/>
    </row>
    <row r="179" spans="2:4" x14ac:dyDescent="0.2">
      <c r="B179" s="67"/>
      <c r="C179" s="67"/>
      <c r="D179" s="67"/>
    </row>
    <row r="180" spans="2:4" x14ac:dyDescent="0.2">
      <c r="B180" s="67"/>
      <c r="C180" s="67"/>
      <c r="D180" s="67"/>
    </row>
    <row r="181" spans="2:4" x14ac:dyDescent="0.2">
      <c r="B181" s="67"/>
      <c r="C181" s="67"/>
      <c r="D181" s="67"/>
    </row>
    <row r="182" spans="2:4" x14ac:dyDescent="0.2">
      <c r="B182" s="67"/>
      <c r="C182" s="67"/>
      <c r="D182" s="67"/>
    </row>
    <row r="183" spans="2:4" x14ac:dyDescent="0.2">
      <c r="B183" s="67"/>
      <c r="C183" s="67"/>
      <c r="D183" s="67"/>
    </row>
    <row r="184" spans="2:4" x14ac:dyDescent="0.2">
      <c r="B184" s="67"/>
      <c r="C184" s="67"/>
      <c r="D184" s="67"/>
    </row>
    <row r="185" spans="2:4" x14ac:dyDescent="0.2">
      <c r="B185" s="67"/>
      <c r="C185" s="67"/>
      <c r="D185" s="67"/>
    </row>
    <row r="186" spans="2:4" x14ac:dyDescent="0.2">
      <c r="B186" s="67"/>
      <c r="C186" s="67"/>
      <c r="D186" s="67"/>
    </row>
    <row r="187" spans="2:4" x14ac:dyDescent="0.2">
      <c r="B187" s="67"/>
      <c r="C187" s="67"/>
      <c r="D187" s="67"/>
    </row>
    <row r="188" spans="2:4" x14ac:dyDescent="0.2">
      <c r="B188" s="67"/>
      <c r="C188" s="67"/>
      <c r="D188" s="67"/>
    </row>
    <row r="189" spans="2:4" x14ac:dyDescent="0.2">
      <c r="B189" s="67"/>
      <c r="C189" s="67"/>
      <c r="D189" s="67"/>
    </row>
    <row r="190" spans="2:4" x14ac:dyDescent="0.2">
      <c r="B190" s="67"/>
      <c r="C190" s="67"/>
      <c r="D190" s="67"/>
    </row>
    <row r="191" spans="2:4" x14ac:dyDescent="0.2">
      <c r="B191" s="67"/>
      <c r="C191" s="67"/>
      <c r="D191" s="67"/>
    </row>
    <row r="192" spans="2:4" x14ac:dyDescent="0.2">
      <c r="B192" s="67"/>
      <c r="C192" s="67"/>
      <c r="D192" s="67"/>
    </row>
    <row r="193" spans="2:4" x14ac:dyDescent="0.2">
      <c r="B193" s="67"/>
      <c r="C193" s="67"/>
      <c r="D193" s="67"/>
    </row>
    <row r="194" spans="2:4" x14ac:dyDescent="0.2">
      <c r="B194" s="67"/>
      <c r="C194" s="67"/>
      <c r="D194" s="67"/>
    </row>
    <row r="195" spans="2:4" x14ac:dyDescent="0.2">
      <c r="B195" s="67"/>
      <c r="C195" s="67"/>
      <c r="D195" s="67"/>
    </row>
    <row r="196" spans="2:4" x14ac:dyDescent="0.2">
      <c r="B196" s="67"/>
      <c r="C196" s="67"/>
      <c r="D196" s="67"/>
    </row>
    <row r="197" spans="2:4" x14ac:dyDescent="0.2">
      <c r="B197" s="67"/>
      <c r="C197" s="67"/>
      <c r="D197" s="67"/>
    </row>
    <row r="198" spans="2:4" x14ac:dyDescent="0.2">
      <c r="B198" s="67"/>
      <c r="C198" s="67"/>
      <c r="D198" s="67"/>
    </row>
    <row r="199" spans="2:4" x14ac:dyDescent="0.2">
      <c r="B199" s="67"/>
      <c r="C199" s="67"/>
      <c r="D199" s="67"/>
    </row>
    <row r="200" spans="2:4" x14ac:dyDescent="0.2">
      <c r="B200" s="67"/>
      <c r="C200" s="67"/>
      <c r="D200" s="67"/>
    </row>
    <row r="201" spans="2:4" x14ac:dyDescent="0.2">
      <c r="B201" s="67"/>
      <c r="C201" s="67"/>
      <c r="D201" s="67"/>
    </row>
    <row r="202" spans="2:4" x14ac:dyDescent="0.2">
      <c r="B202" s="67"/>
      <c r="C202" s="67"/>
      <c r="D202" s="67"/>
    </row>
    <row r="203" spans="2:4" x14ac:dyDescent="0.2">
      <c r="B203" s="67"/>
      <c r="C203" s="67"/>
      <c r="D203" s="67"/>
    </row>
    <row r="204" spans="2:4" x14ac:dyDescent="0.2">
      <c r="B204" s="67"/>
      <c r="C204" s="67"/>
      <c r="D204" s="67"/>
    </row>
    <row r="205" spans="2:4" x14ac:dyDescent="0.2">
      <c r="B205" s="67"/>
      <c r="C205" s="67"/>
      <c r="D205" s="67"/>
    </row>
    <row r="206" spans="2:4" x14ac:dyDescent="0.2">
      <c r="B206" s="67"/>
      <c r="C206" s="67"/>
      <c r="D206" s="67"/>
    </row>
    <row r="207" spans="2:4" x14ac:dyDescent="0.2">
      <c r="B207" s="67"/>
      <c r="C207" s="67"/>
      <c r="D207" s="67"/>
    </row>
    <row r="208" spans="2:4" x14ac:dyDescent="0.2">
      <c r="B208" s="67"/>
      <c r="C208" s="67"/>
      <c r="D208" s="67"/>
    </row>
    <row r="209" spans="2:4" x14ac:dyDescent="0.2">
      <c r="B209" s="67"/>
      <c r="C209" s="67"/>
      <c r="D209" s="67"/>
    </row>
    <row r="210" spans="2:4" x14ac:dyDescent="0.2">
      <c r="B210" s="67"/>
      <c r="C210" s="67"/>
      <c r="D210" s="67"/>
    </row>
    <row r="211" spans="2:4" x14ac:dyDescent="0.2">
      <c r="B211" s="67"/>
      <c r="C211" s="67"/>
      <c r="D211" s="67"/>
    </row>
    <row r="212" spans="2:4" x14ac:dyDescent="0.2">
      <c r="B212" s="67"/>
      <c r="C212" s="67"/>
      <c r="D212" s="67"/>
    </row>
    <row r="213" spans="2:4" x14ac:dyDescent="0.2">
      <c r="B213" s="67"/>
      <c r="C213" s="67"/>
      <c r="D213" s="67"/>
    </row>
    <row r="214" spans="2:4" x14ac:dyDescent="0.2">
      <c r="B214" s="67"/>
      <c r="C214" s="67"/>
      <c r="D214" s="67"/>
    </row>
    <row r="215" spans="2:4" x14ac:dyDescent="0.2">
      <c r="B215" s="67"/>
      <c r="C215" s="67"/>
      <c r="D215" s="67"/>
    </row>
    <row r="216" spans="2:4" x14ac:dyDescent="0.2">
      <c r="B216" s="67"/>
      <c r="C216" s="67"/>
      <c r="D216" s="67"/>
    </row>
    <row r="217" spans="2:4" x14ac:dyDescent="0.2">
      <c r="B217" s="67"/>
      <c r="C217" s="67"/>
      <c r="D217" s="67"/>
    </row>
    <row r="218" spans="2:4" x14ac:dyDescent="0.2">
      <c r="B218" s="67"/>
      <c r="C218" s="67"/>
      <c r="D218" s="67"/>
    </row>
    <row r="219" spans="2:4" x14ac:dyDescent="0.2">
      <c r="B219" s="67"/>
      <c r="C219" s="67"/>
      <c r="D219" s="67"/>
    </row>
    <row r="220" spans="2:4" x14ac:dyDescent="0.2">
      <c r="B220" s="67"/>
      <c r="C220" s="67"/>
      <c r="D220" s="67"/>
    </row>
    <row r="221" spans="2:4" x14ac:dyDescent="0.2">
      <c r="B221" s="67"/>
      <c r="C221" s="67"/>
      <c r="D221" s="67"/>
    </row>
    <row r="222" spans="2:4" x14ac:dyDescent="0.2">
      <c r="B222" s="67"/>
      <c r="C222" s="67"/>
      <c r="D222" s="67"/>
    </row>
    <row r="223" spans="2:4" x14ac:dyDescent="0.2">
      <c r="B223" s="67"/>
      <c r="C223" s="67"/>
      <c r="D223" s="67"/>
    </row>
    <row r="224" spans="2:4" x14ac:dyDescent="0.2">
      <c r="B224" s="67"/>
      <c r="C224" s="67"/>
      <c r="D224" s="67"/>
    </row>
    <row r="225" spans="2:4" x14ac:dyDescent="0.2">
      <c r="B225" s="67"/>
      <c r="C225" s="67"/>
      <c r="D225" s="67"/>
    </row>
    <row r="226" spans="2:4" x14ac:dyDescent="0.2">
      <c r="B226" s="67"/>
      <c r="C226" s="67"/>
      <c r="D226" s="67"/>
    </row>
    <row r="227" spans="2:4" x14ac:dyDescent="0.2">
      <c r="B227" s="67"/>
      <c r="C227" s="67"/>
      <c r="D227" s="67"/>
    </row>
    <row r="228" spans="2:4" x14ac:dyDescent="0.2">
      <c r="B228" s="67"/>
      <c r="C228" s="67"/>
      <c r="D228" s="67"/>
    </row>
    <row r="229" spans="2:4" x14ac:dyDescent="0.2">
      <c r="B229" s="67"/>
      <c r="C229" s="67"/>
      <c r="D229" s="67"/>
    </row>
    <row r="230" spans="2:4" x14ac:dyDescent="0.2">
      <c r="B230" s="67"/>
      <c r="C230" s="67"/>
      <c r="D230" s="67"/>
    </row>
    <row r="231" spans="2:4" x14ac:dyDescent="0.2">
      <c r="B231" s="67"/>
      <c r="C231" s="67"/>
      <c r="D231" s="67"/>
    </row>
    <row r="232" spans="2:4" x14ac:dyDescent="0.2">
      <c r="B232" s="67"/>
      <c r="C232" s="67"/>
      <c r="D232" s="67"/>
    </row>
    <row r="233" spans="2:4" x14ac:dyDescent="0.2">
      <c r="B233" s="67"/>
      <c r="C233" s="67"/>
      <c r="D233" s="67"/>
    </row>
    <row r="234" spans="2:4" x14ac:dyDescent="0.2">
      <c r="B234" s="67"/>
      <c r="C234" s="67"/>
      <c r="D234" s="67"/>
    </row>
    <row r="235" spans="2:4" x14ac:dyDescent="0.2">
      <c r="B235" s="67"/>
      <c r="C235" s="67"/>
      <c r="D235" s="67"/>
    </row>
    <row r="236" spans="2:4" x14ac:dyDescent="0.2">
      <c r="B236" s="67"/>
      <c r="C236" s="67"/>
      <c r="D236" s="67"/>
    </row>
    <row r="237" spans="2:4" x14ac:dyDescent="0.2">
      <c r="B237" s="67"/>
      <c r="C237" s="67"/>
      <c r="D237" s="67"/>
    </row>
    <row r="238" spans="2:4" x14ac:dyDescent="0.2">
      <c r="B238" s="67"/>
      <c r="C238" s="67"/>
      <c r="D238" s="67"/>
    </row>
    <row r="239" spans="2:4" x14ac:dyDescent="0.2">
      <c r="B239" s="67"/>
      <c r="C239" s="67"/>
      <c r="D239" s="67"/>
    </row>
    <row r="240" spans="2:4" x14ac:dyDescent="0.2">
      <c r="B240" s="67"/>
      <c r="C240" s="67"/>
      <c r="D240" s="67"/>
    </row>
    <row r="241" spans="2:4" x14ac:dyDescent="0.2">
      <c r="B241" s="67"/>
      <c r="C241" s="67"/>
      <c r="D241" s="67"/>
    </row>
    <row r="242" spans="2:4" x14ac:dyDescent="0.2">
      <c r="B242" s="67"/>
      <c r="C242" s="67"/>
      <c r="D242" s="67"/>
    </row>
    <row r="243" spans="2:4" x14ac:dyDescent="0.2">
      <c r="B243" s="67"/>
      <c r="C243" s="67"/>
      <c r="D243" s="67"/>
    </row>
    <row r="244" spans="2:4" x14ac:dyDescent="0.2">
      <c r="B244" s="67"/>
      <c r="C244" s="67"/>
      <c r="D244" s="67"/>
    </row>
    <row r="245" spans="2:4" x14ac:dyDescent="0.2">
      <c r="B245" s="67"/>
      <c r="C245" s="67"/>
      <c r="D245" s="67"/>
    </row>
    <row r="246" spans="2:4" x14ac:dyDescent="0.2">
      <c r="B246" s="67"/>
      <c r="C246" s="67"/>
      <c r="D246" s="67"/>
    </row>
    <row r="247" spans="2:4" x14ac:dyDescent="0.2">
      <c r="B247" s="67"/>
      <c r="C247" s="67"/>
      <c r="D247" s="67"/>
    </row>
    <row r="248" spans="2:4" x14ac:dyDescent="0.2">
      <c r="B248" s="67"/>
      <c r="C248" s="67"/>
      <c r="D248" s="67"/>
    </row>
    <row r="249" spans="2:4" x14ac:dyDescent="0.2">
      <c r="B249" s="67"/>
      <c r="C249" s="67"/>
      <c r="D249" s="67"/>
    </row>
    <row r="250" spans="2:4" x14ac:dyDescent="0.2">
      <c r="B250" s="67"/>
      <c r="C250" s="67"/>
      <c r="D250" s="67"/>
    </row>
    <row r="251" spans="2:4" x14ac:dyDescent="0.2">
      <c r="B251" s="67"/>
      <c r="C251" s="67"/>
      <c r="D251" s="67"/>
    </row>
    <row r="252" spans="2:4" x14ac:dyDescent="0.2">
      <c r="B252" s="67"/>
      <c r="C252" s="67"/>
      <c r="D252" s="67"/>
    </row>
    <row r="253" spans="2:4" x14ac:dyDescent="0.2">
      <c r="B253" s="67"/>
      <c r="C253" s="67"/>
      <c r="D253" s="67"/>
    </row>
    <row r="254" spans="2:4" x14ac:dyDescent="0.2">
      <c r="B254" s="67"/>
      <c r="C254" s="67"/>
      <c r="D254" s="67"/>
    </row>
    <row r="255" spans="2:4" x14ac:dyDescent="0.2">
      <c r="B255" s="67"/>
      <c r="C255" s="67"/>
      <c r="D255" s="67"/>
    </row>
    <row r="256" spans="2:4" x14ac:dyDescent="0.2">
      <c r="B256" s="67"/>
      <c r="C256" s="67"/>
      <c r="D256" s="67"/>
    </row>
    <row r="257" spans="2:4" x14ac:dyDescent="0.2">
      <c r="B257" s="67"/>
      <c r="C257" s="67"/>
      <c r="D257" s="67"/>
    </row>
    <row r="258" spans="2:4" x14ac:dyDescent="0.2">
      <c r="B258" s="67"/>
      <c r="C258" s="67"/>
      <c r="D258" s="67"/>
    </row>
    <row r="259" spans="2:4" x14ac:dyDescent="0.2">
      <c r="B259" s="67"/>
      <c r="C259" s="67"/>
      <c r="D259" s="67"/>
    </row>
    <row r="260" spans="2:4" x14ac:dyDescent="0.2">
      <c r="B260" s="67"/>
      <c r="C260" s="67"/>
      <c r="D260" s="67"/>
    </row>
    <row r="261" spans="2:4" x14ac:dyDescent="0.2">
      <c r="B261" s="67"/>
      <c r="C261" s="67"/>
      <c r="D261" s="67"/>
    </row>
    <row r="262" spans="2:4" x14ac:dyDescent="0.2">
      <c r="B262" s="67"/>
      <c r="C262" s="67"/>
      <c r="D262" s="67"/>
    </row>
    <row r="263" spans="2:4" x14ac:dyDescent="0.2">
      <c r="B263" s="67"/>
      <c r="C263" s="67"/>
      <c r="D263" s="67"/>
    </row>
    <row r="264" spans="2:4" x14ac:dyDescent="0.2">
      <c r="B264" s="67"/>
      <c r="C264" s="67"/>
      <c r="D264" s="67"/>
    </row>
    <row r="265" spans="2:4" x14ac:dyDescent="0.2">
      <c r="B265" s="67"/>
      <c r="C265" s="67"/>
      <c r="D265" s="67"/>
    </row>
    <row r="266" spans="2:4" x14ac:dyDescent="0.2">
      <c r="B266" s="67"/>
      <c r="C266" s="67"/>
      <c r="D266" s="67"/>
    </row>
    <row r="267" spans="2:4" x14ac:dyDescent="0.2">
      <c r="B267" s="67"/>
      <c r="C267" s="67"/>
      <c r="D267" s="67"/>
    </row>
    <row r="268" spans="2:4" x14ac:dyDescent="0.2">
      <c r="B268" s="67"/>
      <c r="C268" s="67"/>
      <c r="D268" s="67"/>
    </row>
    <row r="269" spans="2:4" x14ac:dyDescent="0.2">
      <c r="B269" s="67"/>
      <c r="C269" s="67"/>
      <c r="D269" s="67"/>
    </row>
    <row r="270" spans="2:4" x14ac:dyDescent="0.2">
      <c r="B270" s="67"/>
      <c r="C270" s="67"/>
      <c r="D270" s="67"/>
    </row>
    <row r="271" spans="2:4" x14ac:dyDescent="0.2">
      <c r="B271" s="67"/>
      <c r="C271" s="67"/>
      <c r="D271" s="67"/>
    </row>
    <row r="272" spans="2:4" x14ac:dyDescent="0.2">
      <c r="B272" s="67"/>
      <c r="C272" s="67"/>
      <c r="D272" s="67"/>
    </row>
    <row r="273" spans="2:4" x14ac:dyDescent="0.2">
      <c r="B273" s="67"/>
      <c r="C273" s="67"/>
      <c r="D273" s="67"/>
    </row>
    <row r="274" spans="2:4" x14ac:dyDescent="0.2">
      <c r="B274" s="67"/>
      <c r="C274" s="67"/>
      <c r="D274" s="67"/>
    </row>
    <row r="275" spans="2:4" x14ac:dyDescent="0.2">
      <c r="B275" s="67"/>
      <c r="C275" s="67"/>
      <c r="D275" s="67"/>
    </row>
    <row r="276" spans="2:4" x14ac:dyDescent="0.2">
      <c r="B276" s="67"/>
      <c r="C276" s="67"/>
      <c r="D276" s="67"/>
    </row>
    <row r="277" spans="2:4" x14ac:dyDescent="0.2">
      <c r="B277" s="67"/>
      <c r="C277" s="67"/>
      <c r="D277" s="67"/>
    </row>
    <row r="278" spans="2:4" x14ac:dyDescent="0.2">
      <c r="B278" s="67"/>
      <c r="C278" s="67"/>
      <c r="D278" s="67"/>
    </row>
    <row r="279" spans="2:4" x14ac:dyDescent="0.2">
      <c r="B279" s="67"/>
      <c r="C279" s="67"/>
      <c r="D279" s="67"/>
    </row>
    <row r="280" spans="2:4" x14ac:dyDescent="0.2">
      <c r="B280" s="67"/>
      <c r="C280" s="67"/>
      <c r="D280" s="67"/>
    </row>
    <row r="281" spans="2:4" x14ac:dyDescent="0.2">
      <c r="B281" s="67"/>
      <c r="C281" s="67"/>
      <c r="D281" s="67"/>
    </row>
    <row r="282" spans="2:4" x14ac:dyDescent="0.2">
      <c r="B282" s="67"/>
      <c r="C282" s="67"/>
      <c r="D282" s="67"/>
    </row>
    <row r="283" spans="2:4" x14ac:dyDescent="0.2">
      <c r="B283" s="67"/>
      <c r="C283" s="67"/>
      <c r="D283" s="67"/>
    </row>
    <row r="284" spans="2:4" x14ac:dyDescent="0.2">
      <c r="B284" s="67"/>
      <c r="C284" s="67"/>
      <c r="D284" s="67"/>
    </row>
    <row r="285" spans="2:4" x14ac:dyDescent="0.2">
      <c r="B285" s="67"/>
      <c r="C285" s="67"/>
      <c r="D285" s="67"/>
    </row>
    <row r="286" spans="2:4" x14ac:dyDescent="0.2">
      <c r="B286" s="67"/>
      <c r="C286" s="67"/>
      <c r="D286" s="67"/>
    </row>
    <row r="287" spans="2:4" x14ac:dyDescent="0.2">
      <c r="B287" s="67"/>
      <c r="C287" s="67"/>
      <c r="D287" s="67"/>
    </row>
    <row r="288" spans="2:4" x14ac:dyDescent="0.2">
      <c r="B288" s="67"/>
      <c r="C288" s="67"/>
      <c r="D288" s="67"/>
    </row>
    <row r="289" spans="2:4" x14ac:dyDescent="0.2">
      <c r="B289" s="67"/>
      <c r="C289" s="67"/>
      <c r="D289" s="67"/>
    </row>
    <row r="290" spans="2:4" x14ac:dyDescent="0.2">
      <c r="B290" s="67"/>
      <c r="C290" s="67"/>
      <c r="D290" s="67"/>
    </row>
    <row r="291" spans="2:4" x14ac:dyDescent="0.2">
      <c r="B291" s="67"/>
      <c r="C291" s="67"/>
      <c r="D291" s="67"/>
    </row>
    <row r="292" spans="2:4" x14ac:dyDescent="0.2">
      <c r="B292" s="67"/>
      <c r="C292" s="67"/>
      <c r="D292" s="67"/>
    </row>
    <row r="293" spans="2:4" x14ac:dyDescent="0.2">
      <c r="B293" s="67"/>
      <c r="C293" s="67"/>
      <c r="D293" s="67"/>
    </row>
    <row r="294" spans="2:4" x14ac:dyDescent="0.2">
      <c r="B294" s="67"/>
      <c r="C294" s="67"/>
      <c r="D294" s="67"/>
    </row>
    <row r="295" spans="2:4" x14ac:dyDescent="0.2">
      <c r="B295" s="67"/>
      <c r="C295" s="67"/>
      <c r="D295" s="67"/>
    </row>
    <row r="296" spans="2:4" x14ac:dyDescent="0.2">
      <c r="B296" s="67"/>
      <c r="C296" s="67"/>
      <c r="D296" s="67"/>
    </row>
    <row r="297" spans="2:4" x14ac:dyDescent="0.2">
      <c r="B297" s="67"/>
      <c r="C297" s="67"/>
      <c r="D297" s="67"/>
    </row>
    <row r="298" spans="2:4" x14ac:dyDescent="0.2">
      <c r="B298" s="67"/>
      <c r="C298" s="67"/>
      <c r="D298" s="67"/>
    </row>
    <row r="299" spans="2:4" x14ac:dyDescent="0.2">
      <c r="B299" s="67"/>
      <c r="C299" s="67"/>
      <c r="D299" s="67"/>
    </row>
    <row r="300" spans="2:4" x14ac:dyDescent="0.2">
      <c r="B300" s="67"/>
      <c r="C300" s="67"/>
      <c r="D300" s="67"/>
    </row>
    <row r="301" spans="2:4" x14ac:dyDescent="0.2">
      <c r="B301" s="67"/>
      <c r="C301" s="67"/>
      <c r="D301" s="67"/>
    </row>
    <row r="302" spans="2:4" x14ac:dyDescent="0.2">
      <c r="B302" s="67"/>
      <c r="C302" s="67"/>
      <c r="D302" s="67"/>
    </row>
    <row r="303" spans="2:4" x14ac:dyDescent="0.2">
      <c r="B303" s="67"/>
      <c r="C303" s="67"/>
      <c r="D303" s="67"/>
    </row>
    <row r="304" spans="2:4" x14ac:dyDescent="0.2">
      <c r="B304" s="67"/>
      <c r="C304" s="67"/>
      <c r="D304" s="67"/>
    </row>
    <row r="305" spans="2:4" x14ac:dyDescent="0.2">
      <c r="B305" s="67"/>
      <c r="C305" s="67"/>
      <c r="D305" s="67"/>
    </row>
    <row r="306" spans="2:4" x14ac:dyDescent="0.2">
      <c r="B306" s="67"/>
      <c r="C306" s="67"/>
      <c r="D306" s="67"/>
    </row>
    <row r="307" spans="2:4" x14ac:dyDescent="0.2">
      <c r="B307" s="67"/>
      <c r="C307" s="67"/>
      <c r="D307" s="67"/>
    </row>
    <row r="308" spans="2:4" x14ac:dyDescent="0.2">
      <c r="B308" s="67"/>
      <c r="C308" s="67"/>
      <c r="D308" s="67"/>
    </row>
    <row r="309" spans="2:4" x14ac:dyDescent="0.2">
      <c r="B309" s="67"/>
      <c r="C309" s="67"/>
      <c r="D309" s="67"/>
    </row>
    <row r="310" spans="2:4" x14ac:dyDescent="0.2">
      <c r="B310" s="67"/>
      <c r="C310" s="67"/>
      <c r="D310" s="67"/>
    </row>
    <row r="311" spans="2:4" x14ac:dyDescent="0.2">
      <c r="B311" s="67"/>
      <c r="C311" s="67"/>
      <c r="D311" s="67"/>
    </row>
    <row r="312" spans="2:4" x14ac:dyDescent="0.2">
      <c r="B312" s="67"/>
      <c r="C312" s="67"/>
      <c r="D312" s="67"/>
    </row>
    <row r="313" spans="2:4" x14ac:dyDescent="0.2">
      <c r="B313" s="67"/>
      <c r="C313" s="67"/>
      <c r="D313" s="67"/>
    </row>
    <row r="314" spans="2:4" x14ac:dyDescent="0.2">
      <c r="B314" s="67"/>
      <c r="C314" s="67"/>
      <c r="D314" s="67"/>
    </row>
    <row r="315" spans="2:4" x14ac:dyDescent="0.2">
      <c r="B315" s="67"/>
      <c r="C315" s="67"/>
      <c r="D315" s="67"/>
    </row>
    <row r="316" spans="2:4" x14ac:dyDescent="0.2">
      <c r="B316" s="67"/>
      <c r="C316" s="67"/>
      <c r="D316" s="67"/>
    </row>
    <row r="317" spans="2:4" x14ac:dyDescent="0.2">
      <c r="B317" s="67"/>
      <c r="C317" s="67"/>
      <c r="D317" s="67"/>
    </row>
    <row r="318" spans="2:4" x14ac:dyDescent="0.2">
      <c r="B318" s="67"/>
      <c r="C318" s="67"/>
      <c r="D318" s="67"/>
    </row>
    <row r="319" spans="2:4" x14ac:dyDescent="0.2">
      <c r="B319" s="67"/>
      <c r="C319" s="67"/>
      <c r="D319" s="67"/>
    </row>
    <row r="320" spans="2:4" x14ac:dyDescent="0.2">
      <c r="B320" s="67"/>
      <c r="C320" s="67"/>
      <c r="D320" s="67"/>
    </row>
    <row r="321" spans="2:4" x14ac:dyDescent="0.2">
      <c r="B321" s="67"/>
      <c r="C321" s="67"/>
      <c r="D321" s="67"/>
    </row>
    <row r="322" spans="2:4" x14ac:dyDescent="0.2">
      <c r="B322" s="67"/>
      <c r="C322" s="67"/>
      <c r="D322" s="67"/>
    </row>
    <row r="323" spans="2:4" x14ac:dyDescent="0.2">
      <c r="B323" s="67"/>
      <c r="C323" s="67"/>
      <c r="D323" s="67"/>
    </row>
    <row r="324" spans="2:4" x14ac:dyDescent="0.2">
      <c r="B324" s="67"/>
      <c r="C324" s="67"/>
      <c r="D324" s="67"/>
    </row>
    <row r="325" spans="2:4" x14ac:dyDescent="0.2">
      <c r="B325" s="67"/>
      <c r="C325" s="67"/>
      <c r="D325" s="67"/>
    </row>
    <row r="326" spans="2:4" x14ac:dyDescent="0.2">
      <c r="B326" s="67"/>
      <c r="C326" s="67"/>
      <c r="D326" s="67"/>
    </row>
    <row r="327" spans="2:4" x14ac:dyDescent="0.2">
      <c r="B327" s="67"/>
      <c r="C327" s="67"/>
      <c r="D327" s="67"/>
    </row>
    <row r="328" spans="2:4" x14ac:dyDescent="0.2">
      <c r="B328" s="67"/>
      <c r="C328" s="67"/>
      <c r="D328" s="67"/>
    </row>
    <row r="329" spans="2:4" x14ac:dyDescent="0.2">
      <c r="B329" s="67"/>
      <c r="C329" s="67"/>
      <c r="D329" s="67"/>
    </row>
    <row r="330" spans="2:4" x14ac:dyDescent="0.2">
      <c r="B330" s="67"/>
      <c r="C330" s="67"/>
      <c r="D330" s="67"/>
    </row>
    <row r="331" spans="2:4" x14ac:dyDescent="0.2">
      <c r="B331" s="67"/>
      <c r="C331" s="67"/>
      <c r="D331" s="67"/>
    </row>
    <row r="332" spans="2:4" x14ac:dyDescent="0.2">
      <c r="B332" s="67"/>
      <c r="C332" s="67"/>
      <c r="D332" s="67"/>
    </row>
    <row r="333" spans="2:4" x14ac:dyDescent="0.2">
      <c r="B333" s="67"/>
      <c r="C333" s="67"/>
      <c r="D333" s="67"/>
    </row>
    <row r="334" spans="2:4" x14ac:dyDescent="0.2">
      <c r="B334" s="67"/>
      <c r="C334" s="67"/>
      <c r="D334" s="67"/>
    </row>
    <row r="335" spans="2:4" x14ac:dyDescent="0.2">
      <c r="B335" s="67"/>
      <c r="C335" s="67"/>
      <c r="D335" s="67"/>
    </row>
    <row r="336" spans="2:4" x14ac:dyDescent="0.2">
      <c r="B336" s="67"/>
      <c r="C336" s="67"/>
      <c r="D336" s="67"/>
    </row>
    <row r="337" spans="2:4" x14ac:dyDescent="0.2">
      <c r="B337" s="67"/>
      <c r="C337" s="67"/>
      <c r="D337" s="67"/>
    </row>
    <row r="338" spans="2:4" x14ac:dyDescent="0.2">
      <c r="B338" s="67"/>
      <c r="C338" s="67"/>
      <c r="D338" s="67"/>
    </row>
    <row r="339" spans="2:4" x14ac:dyDescent="0.2">
      <c r="B339" s="67"/>
      <c r="C339" s="67"/>
      <c r="D339" s="67"/>
    </row>
    <row r="340" spans="2:4" x14ac:dyDescent="0.2">
      <c r="B340" s="67"/>
      <c r="C340" s="67"/>
      <c r="D340" s="67"/>
    </row>
    <row r="341" spans="2:4" x14ac:dyDescent="0.2">
      <c r="B341" s="67"/>
      <c r="C341" s="67"/>
      <c r="D341" s="67"/>
    </row>
    <row r="342" spans="2:4" x14ac:dyDescent="0.2">
      <c r="B342" s="67"/>
      <c r="C342" s="67"/>
      <c r="D342" s="67"/>
    </row>
    <row r="343" spans="2:4" x14ac:dyDescent="0.2">
      <c r="B343" s="67"/>
      <c r="C343" s="67"/>
      <c r="D343" s="67"/>
    </row>
    <row r="344" spans="2:4" x14ac:dyDescent="0.2">
      <c r="B344" s="67"/>
      <c r="C344" s="67"/>
      <c r="D344" s="67"/>
    </row>
    <row r="345" spans="2:4" x14ac:dyDescent="0.2">
      <c r="B345" s="67"/>
      <c r="C345" s="67"/>
      <c r="D345" s="67"/>
    </row>
    <row r="346" spans="2:4" x14ac:dyDescent="0.2">
      <c r="B346" s="67"/>
      <c r="C346" s="67"/>
      <c r="D346" s="67"/>
    </row>
    <row r="347" spans="2:4" x14ac:dyDescent="0.2">
      <c r="B347" s="67"/>
      <c r="C347" s="67"/>
      <c r="D347" s="67"/>
    </row>
    <row r="348" spans="2:4" x14ac:dyDescent="0.2">
      <c r="B348" s="67"/>
      <c r="C348" s="67"/>
      <c r="D348" s="67"/>
    </row>
    <row r="349" spans="2:4" x14ac:dyDescent="0.2">
      <c r="B349" s="67"/>
      <c r="C349" s="67"/>
      <c r="D349" s="67"/>
    </row>
    <row r="350" spans="2:4" x14ac:dyDescent="0.2">
      <c r="B350" s="67"/>
      <c r="C350" s="67"/>
      <c r="D350" s="67"/>
    </row>
    <row r="351" spans="2:4" x14ac:dyDescent="0.2">
      <c r="B351" s="67"/>
      <c r="C351" s="67"/>
      <c r="D351" s="67"/>
    </row>
    <row r="352" spans="2:4" x14ac:dyDescent="0.2">
      <c r="B352" s="67"/>
      <c r="C352" s="67"/>
      <c r="D352" s="67"/>
    </row>
    <row r="353" spans="2:4" x14ac:dyDescent="0.2">
      <c r="B353" s="67"/>
      <c r="C353" s="67"/>
      <c r="D353" s="67"/>
    </row>
    <row r="354" spans="2:4" x14ac:dyDescent="0.2">
      <c r="B354" s="67"/>
      <c r="C354" s="67"/>
      <c r="D354" s="67"/>
    </row>
    <row r="355" spans="2:4" x14ac:dyDescent="0.2">
      <c r="B355" s="67"/>
      <c r="C355" s="67"/>
      <c r="D355" s="67"/>
    </row>
    <row r="356" spans="2:4" x14ac:dyDescent="0.2">
      <c r="B356" s="67"/>
      <c r="C356" s="67"/>
      <c r="D356" s="67"/>
    </row>
    <row r="357" spans="2:4" x14ac:dyDescent="0.2">
      <c r="B357" s="67"/>
      <c r="C357" s="67"/>
      <c r="D357" s="67"/>
    </row>
    <row r="358" spans="2:4" x14ac:dyDescent="0.2">
      <c r="B358" s="67"/>
      <c r="C358" s="67"/>
      <c r="D358" s="67"/>
    </row>
    <row r="359" spans="2:4" x14ac:dyDescent="0.2">
      <c r="B359" s="67"/>
      <c r="C359" s="67"/>
      <c r="D359" s="67"/>
    </row>
    <row r="360" spans="2:4" x14ac:dyDescent="0.2">
      <c r="B360" s="67"/>
      <c r="C360" s="67"/>
      <c r="D360" s="67"/>
    </row>
    <row r="361" spans="2:4" x14ac:dyDescent="0.2">
      <c r="B361" s="67"/>
      <c r="C361" s="67"/>
      <c r="D361" s="67"/>
    </row>
    <row r="362" spans="2:4" x14ac:dyDescent="0.2">
      <c r="B362" s="67"/>
      <c r="C362" s="67"/>
      <c r="D362" s="67"/>
    </row>
    <row r="363" spans="2:4" x14ac:dyDescent="0.2">
      <c r="B363" s="67"/>
      <c r="C363" s="67"/>
      <c r="D363" s="67"/>
    </row>
    <row r="364" spans="2:4" x14ac:dyDescent="0.2">
      <c r="B364" s="67"/>
      <c r="C364" s="67"/>
      <c r="D364" s="67"/>
    </row>
    <row r="365" spans="2:4" x14ac:dyDescent="0.2">
      <c r="B365" s="67"/>
      <c r="C365" s="67"/>
      <c r="D365" s="67"/>
    </row>
    <row r="366" spans="2:4" x14ac:dyDescent="0.2">
      <c r="B366" s="67"/>
      <c r="C366" s="67"/>
      <c r="D366" s="67"/>
    </row>
    <row r="367" spans="2:4" x14ac:dyDescent="0.2">
      <c r="B367" s="67"/>
      <c r="C367" s="67"/>
      <c r="D367" s="67"/>
    </row>
    <row r="368" spans="2:4" x14ac:dyDescent="0.2">
      <c r="B368" s="67"/>
      <c r="C368" s="67"/>
      <c r="D368" s="67"/>
    </row>
    <row r="369" spans="2:4" x14ac:dyDescent="0.2">
      <c r="B369" s="67"/>
      <c r="C369" s="67"/>
      <c r="D369" s="67"/>
    </row>
    <row r="370" spans="2:4" x14ac:dyDescent="0.2">
      <c r="B370" s="67"/>
      <c r="C370" s="67"/>
      <c r="D370" s="67"/>
    </row>
    <row r="371" spans="2:4" x14ac:dyDescent="0.2">
      <c r="B371" s="67"/>
      <c r="C371" s="67"/>
      <c r="D371" s="67"/>
    </row>
    <row r="372" spans="2:4" x14ac:dyDescent="0.2">
      <c r="B372" s="67"/>
      <c r="C372" s="67"/>
      <c r="D372" s="67"/>
    </row>
    <row r="373" spans="2:4" x14ac:dyDescent="0.2">
      <c r="B373" s="67"/>
      <c r="C373" s="67"/>
      <c r="D373" s="67"/>
    </row>
    <row r="374" spans="2:4" x14ac:dyDescent="0.2">
      <c r="B374" s="67"/>
      <c r="C374" s="67"/>
      <c r="D374" s="67"/>
    </row>
    <row r="375" spans="2:4" x14ac:dyDescent="0.2">
      <c r="B375" s="67"/>
      <c r="C375" s="67"/>
      <c r="D375" s="67"/>
    </row>
    <row r="376" spans="2:4" x14ac:dyDescent="0.2">
      <c r="B376" s="67"/>
      <c r="C376" s="67"/>
      <c r="D376" s="67"/>
    </row>
    <row r="377" spans="2:4" x14ac:dyDescent="0.2">
      <c r="B377" s="67"/>
      <c r="C377" s="67"/>
      <c r="D377" s="67"/>
    </row>
    <row r="378" spans="2:4" x14ac:dyDescent="0.2">
      <c r="B378" s="67"/>
      <c r="C378" s="67"/>
      <c r="D378" s="67"/>
    </row>
    <row r="379" spans="2:4" x14ac:dyDescent="0.2">
      <c r="B379" s="67"/>
      <c r="C379" s="67"/>
      <c r="D379" s="67"/>
    </row>
    <row r="380" spans="2:4" x14ac:dyDescent="0.2">
      <c r="B380" s="67"/>
      <c r="C380" s="67"/>
      <c r="D380" s="67"/>
    </row>
    <row r="381" spans="2:4" x14ac:dyDescent="0.2">
      <c r="B381" s="67"/>
      <c r="C381" s="67"/>
      <c r="D381" s="67"/>
    </row>
    <row r="382" spans="2:4" x14ac:dyDescent="0.2">
      <c r="B382" s="67"/>
      <c r="C382" s="67"/>
      <c r="D382" s="67"/>
    </row>
    <row r="383" spans="2:4" x14ac:dyDescent="0.2">
      <c r="B383" s="67"/>
      <c r="C383" s="67"/>
      <c r="D383" s="67"/>
    </row>
    <row r="384" spans="2:4" x14ac:dyDescent="0.2">
      <c r="B384" s="67"/>
      <c r="C384" s="67"/>
      <c r="D384" s="67"/>
    </row>
    <row r="385" spans="2:4" x14ac:dyDescent="0.2">
      <c r="B385" s="67"/>
      <c r="C385" s="67"/>
      <c r="D385" s="67"/>
    </row>
    <row r="386" spans="2:4" x14ac:dyDescent="0.2">
      <c r="B386" s="67"/>
      <c r="C386" s="67"/>
      <c r="D386" s="67"/>
    </row>
    <row r="387" spans="2:4" x14ac:dyDescent="0.2">
      <c r="B387" s="67"/>
      <c r="C387" s="67"/>
      <c r="D387" s="67"/>
    </row>
    <row r="388" spans="2:4" x14ac:dyDescent="0.2">
      <c r="B388" s="67"/>
      <c r="C388" s="67"/>
      <c r="D388" s="67"/>
    </row>
    <row r="389" spans="2:4" x14ac:dyDescent="0.2">
      <c r="B389" s="67"/>
      <c r="C389" s="67"/>
      <c r="D389" s="67"/>
    </row>
    <row r="390" spans="2:4" x14ac:dyDescent="0.2">
      <c r="B390" s="67"/>
      <c r="C390" s="67"/>
      <c r="D390" s="67"/>
    </row>
    <row r="391" spans="2:4" x14ac:dyDescent="0.2">
      <c r="B391" s="67"/>
      <c r="C391" s="67"/>
      <c r="D391" s="67"/>
    </row>
    <row r="392" spans="2:4" x14ac:dyDescent="0.2">
      <c r="B392" s="67"/>
      <c r="C392" s="67"/>
      <c r="D392" s="67"/>
    </row>
    <row r="393" spans="2:4" x14ac:dyDescent="0.2">
      <c r="B393" s="67"/>
      <c r="C393" s="67"/>
      <c r="D393" s="67"/>
    </row>
    <row r="394" spans="2:4" x14ac:dyDescent="0.2">
      <c r="B394" s="67"/>
      <c r="C394" s="67"/>
      <c r="D394" s="67"/>
    </row>
    <row r="395" spans="2:4" x14ac:dyDescent="0.2">
      <c r="B395" s="67"/>
      <c r="C395" s="67"/>
      <c r="D395" s="67"/>
    </row>
    <row r="396" spans="2:4" x14ac:dyDescent="0.2">
      <c r="B396" s="67"/>
      <c r="C396" s="67"/>
      <c r="D396" s="67"/>
    </row>
    <row r="397" spans="2:4" x14ac:dyDescent="0.2">
      <c r="B397" s="67"/>
      <c r="C397" s="67"/>
      <c r="D397" s="67"/>
    </row>
    <row r="398" spans="2:4" x14ac:dyDescent="0.2">
      <c r="B398" s="67"/>
      <c r="C398" s="67"/>
      <c r="D398" s="67"/>
    </row>
    <row r="399" spans="2:4" x14ac:dyDescent="0.2">
      <c r="B399" s="67"/>
      <c r="C399" s="67"/>
      <c r="D399" s="67"/>
    </row>
    <row r="400" spans="2:4" x14ac:dyDescent="0.2">
      <c r="B400" s="67"/>
      <c r="C400" s="67"/>
      <c r="D400" s="67"/>
    </row>
    <row r="401" spans="2:4" x14ac:dyDescent="0.2">
      <c r="B401" s="67"/>
      <c r="C401" s="67"/>
      <c r="D401" s="67"/>
    </row>
    <row r="402" spans="2:4" x14ac:dyDescent="0.2">
      <c r="B402" s="67"/>
      <c r="C402" s="67"/>
      <c r="D402" s="67"/>
    </row>
    <row r="403" spans="2:4" x14ac:dyDescent="0.2">
      <c r="B403" s="67"/>
      <c r="C403" s="67"/>
      <c r="D403" s="67"/>
    </row>
    <row r="404" spans="2:4" x14ac:dyDescent="0.2">
      <c r="B404" s="67"/>
      <c r="C404" s="67"/>
      <c r="D404" s="67"/>
    </row>
    <row r="405" spans="2:4" x14ac:dyDescent="0.2">
      <c r="B405" s="67"/>
      <c r="C405" s="67"/>
      <c r="D405" s="67"/>
    </row>
    <row r="406" spans="2:4" x14ac:dyDescent="0.2">
      <c r="B406" s="67"/>
      <c r="C406" s="67"/>
      <c r="D406" s="67"/>
    </row>
    <row r="407" spans="2:4" x14ac:dyDescent="0.2">
      <c r="B407" s="67"/>
      <c r="C407" s="67"/>
      <c r="D407" s="67"/>
    </row>
    <row r="408" spans="2:4" x14ac:dyDescent="0.2">
      <c r="B408" s="67"/>
      <c r="C408" s="67"/>
      <c r="D408" s="67"/>
    </row>
    <row r="409" spans="2:4" x14ac:dyDescent="0.2">
      <c r="B409" s="67"/>
      <c r="C409" s="67"/>
      <c r="D409" s="67"/>
    </row>
    <row r="410" spans="2:4" x14ac:dyDescent="0.2">
      <c r="B410" s="67"/>
      <c r="C410" s="67"/>
      <c r="D410" s="67"/>
    </row>
    <row r="411" spans="2:4" x14ac:dyDescent="0.2">
      <c r="B411" s="67"/>
      <c r="C411" s="67"/>
      <c r="D411" s="67"/>
    </row>
    <row r="412" spans="2:4" x14ac:dyDescent="0.2">
      <c r="B412" s="67"/>
      <c r="C412" s="67"/>
      <c r="D412" s="67"/>
    </row>
    <row r="413" spans="2:4" x14ac:dyDescent="0.2">
      <c r="B413" s="67"/>
      <c r="C413" s="67"/>
      <c r="D413" s="67"/>
    </row>
    <row r="414" spans="2:4" x14ac:dyDescent="0.2">
      <c r="B414" s="67"/>
      <c r="C414" s="67"/>
      <c r="D414" s="67"/>
    </row>
    <row r="415" spans="2:4" x14ac:dyDescent="0.2">
      <c r="B415" s="67"/>
      <c r="C415" s="67"/>
      <c r="D415" s="67"/>
    </row>
    <row r="416" spans="2:4" x14ac:dyDescent="0.2">
      <c r="B416" s="67"/>
      <c r="C416" s="67"/>
      <c r="D416" s="67"/>
    </row>
    <row r="417" spans="2:4" x14ac:dyDescent="0.2">
      <c r="B417" s="67"/>
      <c r="C417" s="67"/>
      <c r="D417" s="67"/>
    </row>
    <row r="418" spans="2:4" x14ac:dyDescent="0.2">
      <c r="B418" s="67"/>
      <c r="C418" s="67"/>
      <c r="D418" s="67"/>
    </row>
    <row r="419" spans="2:4" x14ac:dyDescent="0.2">
      <c r="B419" s="67"/>
      <c r="C419" s="67"/>
      <c r="D419" s="67"/>
    </row>
    <row r="420" spans="2:4" x14ac:dyDescent="0.2">
      <c r="B420" s="67"/>
      <c r="C420" s="67"/>
      <c r="D420" s="67"/>
    </row>
    <row r="421" spans="2:4" x14ac:dyDescent="0.2">
      <c r="B421" s="67"/>
      <c r="C421" s="67"/>
      <c r="D421" s="67"/>
    </row>
    <row r="422" spans="2:4" x14ac:dyDescent="0.2">
      <c r="B422" s="67"/>
      <c r="C422" s="67"/>
      <c r="D422" s="67"/>
    </row>
    <row r="423" spans="2:4" x14ac:dyDescent="0.2">
      <c r="B423" s="67"/>
      <c r="C423" s="67"/>
      <c r="D423" s="67"/>
    </row>
    <row r="424" spans="2:4" x14ac:dyDescent="0.2">
      <c r="B424" s="67"/>
      <c r="C424" s="67"/>
      <c r="D424" s="67"/>
    </row>
    <row r="425" spans="2:4" x14ac:dyDescent="0.2">
      <c r="B425" s="67"/>
      <c r="C425" s="67"/>
      <c r="D425" s="67"/>
    </row>
    <row r="426" spans="2:4" x14ac:dyDescent="0.2">
      <c r="B426" s="67"/>
      <c r="C426" s="67"/>
      <c r="D426" s="67"/>
    </row>
    <row r="427" spans="2:4" x14ac:dyDescent="0.2">
      <c r="B427" s="67"/>
      <c r="C427" s="67"/>
      <c r="D427" s="67"/>
    </row>
    <row r="428" spans="2:4" x14ac:dyDescent="0.2">
      <c r="B428" s="67"/>
      <c r="C428" s="67"/>
      <c r="D428" s="67"/>
    </row>
    <row r="429" spans="2:4" x14ac:dyDescent="0.2">
      <c r="B429" s="67"/>
      <c r="C429" s="67"/>
      <c r="D429" s="67"/>
    </row>
    <row r="430" spans="2:4" x14ac:dyDescent="0.2">
      <c r="B430" s="67"/>
      <c r="C430" s="67"/>
      <c r="D430" s="67"/>
    </row>
    <row r="431" spans="2:4" x14ac:dyDescent="0.2">
      <c r="B431" s="67"/>
      <c r="C431" s="67"/>
      <c r="D431" s="67"/>
    </row>
    <row r="432" spans="2:4" x14ac:dyDescent="0.2">
      <c r="B432" s="67"/>
      <c r="C432" s="67"/>
      <c r="D432" s="67"/>
    </row>
    <row r="433" spans="2:4" x14ac:dyDescent="0.2">
      <c r="B433" s="67"/>
      <c r="C433" s="67"/>
      <c r="D433" s="67"/>
    </row>
    <row r="434" spans="2:4" x14ac:dyDescent="0.2">
      <c r="B434" s="67"/>
      <c r="C434" s="67"/>
      <c r="D434" s="67"/>
    </row>
    <row r="435" spans="2:4" x14ac:dyDescent="0.2">
      <c r="B435" s="67"/>
      <c r="C435" s="67"/>
      <c r="D435" s="67"/>
    </row>
    <row r="436" spans="2:4" x14ac:dyDescent="0.2">
      <c r="B436" s="67"/>
      <c r="C436" s="67"/>
      <c r="D436" s="67"/>
    </row>
    <row r="437" spans="2:4" x14ac:dyDescent="0.2">
      <c r="B437" s="67"/>
      <c r="C437" s="67"/>
      <c r="D437" s="67"/>
    </row>
    <row r="438" spans="2:4" x14ac:dyDescent="0.2">
      <c r="B438" s="67"/>
      <c r="C438" s="67"/>
      <c r="D438" s="67"/>
    </row>
    <row r="439" spans="2:4" x14ac:dyDescent="0.2">
      <c r="B439" s="67"/>
      <c r="C439" s="67"/>
      <c r="D439" s="67"/>
    </row>
    <row r="440" spans="2:4" x14ac:dyDescent="0.2">
      <c r="B440" s="67"/>
      <c r="C440" s="67"/>
      <c r="D440" s="67"/>
    </row>
    <row r="441" spans="2:4" x14ac:dyDescent="0.2">
      <c r="B441" s="67"/>
      <c r="C441" s="67"/>
      <c r="D441" s="67"/>
    </row>
    <row r="442" spans="2:4" x14ac:dyDescent="0.2">
      <c r="B442" s="67"/>
      <c r="C442" s="67"/>
      <c r="D442" s="67"/>
    </row>
    <row r="443" spans="2:4" x14ac:dyDescent="0.2">
      <c r="B443" s="67"/>
      <c r="C443" s="67"/>
      <c r="D443" s="67"/>
    </row>
    <row r="444" spans="2:4" x14ac:dyDescent="0.2">
      <c r="B444" s="67"/>
      <c r="C444" s="67"/>
      <c r="D444" s="67"/>
    </row>
    <row r="445" spans="2:4" x14ac:dyDescent="0.2">
      <c r="B445" s="67"/>
      <c r="C445" s="67"/>
      <c r="D445" s="67"/>
    </row>
    <row r="446" spans="2:4" x14ac:dyDescent="0.2">
      <c r="B446" s="67"/>
      <c r="C446" s="67"/>
      <c r="D446" s="67"/>
    </row>
    <row r="447" spans="2:4" x14ac:dyDescent="0.2">
      <c r="B447" s="67"/>
      <c r="C447" s="67"/>
      <c r="D447" s="67"/>
    </row>
    <row r="448" spans="2:4" x14ac:dyDescent="0.2">
      <c r="B448" s="67"/>
      <c r="C448" s="67"/>
      <c r="D448" s="67"/>
    </row>
    <row r="449" spans="2:4" x14ac:dyDescent="0.2">
      <c r="B449" s="67"/>
      <c r="C449" s="67"/>
      <c r="D449" s="67"/>
    </row>
    <row r="450" spans="2:4" x14ac:dyDescent="0.2">
      <c r="B450" s="67"/>
      <c r="C450" s="67"/>
      <c r="D450" s="67"/>
    </row>
    <row r="451" spans="2:4" x14ac:dyDescent="0.2">
      <c r="B451" s="67"/>
      <c r="C451" s="67"/>
      <c r="D451" s="67"/>
    </row>
    <row r="452" spans="2:4" x14ac:dyDescent="0.2">
      <c r="B452" s="67"/>
      <c r="C452" s="67"/>
      <c r="D452" s="67"/>
    </row>
    <row r="453" spans="2:4" x14ac:dyDescent="0.2">
      <c r="B453" s="67"/>
      <c r="C453" s="67"/>
      <c r="D453" s="67"/>
    </row>
    <row r="454" spans="2:4" x14ac:dyDescent="0.2">
      <c r="B454" s="67"/>
      <c r="C454" s="67"/>
      <c r="D454" s="67"/>
    </row>
    <row r="455" spans="2:4" x14ac:dyDescent="0.2">
      <c r="B455" s="67"/>
      <c r="C455" s="67"/>
      <c r="D455" s="67"/>
    </row>
    <row r="456" spans="2:4" x14ac:dyDescent="0.2">
      <c r="B456" s="67"/>
      <c r="C456" s="67"/>
      <c r="D456" s="67"/>
    </row>
    <row r="457" spans="2:4" x14ac:dyDescent="0.2">
      <c r="B457" s="67"/>
      <c r="C457" s="67"/>
      <c r="D457" s="67"/>
    </row>
    <row r="458" spans="2:4" x14ac:dyDescent="0.2">
      <c r="B458" s="67"/>
      <c r="C458" s="67"/>
      <c r="D458" s="67"/>
    </row>
    <row r="459" spans="2:4" x14ac:dyDescent="0.2">
      <c r="B459" s="67"/>
      <c r="C459" s="67"/>
      <c r="D459" s="67"/>
    </row>
    <row r="460" spans="2:4" x14ac:dyDescent="0.2">
      <c r="B460" s="67"/>
      <c r="C460" s="67"/>
      <c r="D460" s="67"/>
    </row>
    <row r="461" spans="2:4" x14ac:dyDescent="0.2">
      <c r="B461" s="67"/>
      <c r="C461" s="67"/>
      <c r="D461" s="67"/>
    </row>
    <row r="462" spans="2:4" x14ac:dyDescent="0.2">
      <c r="B462" s="67"/>
      <c r="C462" s="67"/>
      <c r="D462" s="67"/>
    </row>
    <row r="463" spans="2:4" x14ac:dyDescent="0.2">
      <c r="B463" s="67"/>
      <c r="C463" s="67"/>
      <c r="D463" s="67"/>
    </row>
    <row r="464" spans="2:4" x14ac:dyDescent="0.2">
      <c r="B464" s="67"/>
      <c r="C464" s="67"/>
      <c r="D464" s="67"/>
    </row>
    <row r="465" spans="2:4" x14ac:dyDescent="0.2">
      <c r="B465" s="67"/>
      <c r="C465" s="67"/>
      <c r="D465" s="67"/>
    </row>
    <row r="466" spans="2:4" x14ac:dyDescent="0.2">
      <c r="B466" s="67"/>
      <c r="C466" s="67"/>
      <c r="D466" s="67"/>
    </row>
    <row r="467" spans="2:4" x14ac:dyDescent="0.2">
      <c r="B467" s="67"/>
      <c r="C467" s="67"/>
      <c r="D467" s="67"/>
    </row>
    <row r="468" spans="2:4" x14ac:dyDescent="0.2">
      <c r="B468" s="67"/>
      <c r="C468" s="67"/>
      <c r="D468" s="67"/>
    </row>
    <row r="469" spans="2:4" x14ac:dyDescent="0.2">
      <c r="B469" s="67"/>
      <c r="C469" s="67"/>
      <c r="D469" s="67"/>
    </row>
    <row r="470" spans="2:4" x14ac:dyDescent="0.2">
      <c r="B470" s="67"/>
      <c r="C470" s="67"/>
      <c r="D470" s="67"/>
    </row>
    <row r="471" spans="2:4" x14ac:dyDescent="0.2">
      <c r="B471" s="67"/>
      <c r="C471" s="67"/>
      <c r="D471" s="67"/>
    </row>
    <row r="472" spans="2:4" x14ac:dyDescent="0.2">
      <c r="B472" s="67"/>
      <c r="C472" s="67"/>
      <c r="D472" s="67"/>
    </row>
    <row r="473" spans="2:4" x14ac:dyDescent="0.2">
      <c r="B473" s="67"/>
      <c r="C473" s="67"/>
      <c r="D473" s="67"/>
    </row>
    <row r="474" spans="2:4" x14ac:dyDescent="0.2">
      <c r="B474" s="67"/>
      <c r="C474" s="67"/>
      <c r="D474" s="67"/>
    </row>
    <row r="475" spans="2:4" x14ac:dyDescent="0.2">
      <c r="B475" s="67"/>
      <c r="C475" s="67"/>
      <c r="D475" s="67"/>
    </row>
    <row r="476" spans="2:4" x14ac:dyDescent="0.2">
      <c r="B476" s="67"/>
      <c r="C476" s="67"/>
      <c r="D476" s="67"/>
    </row>
    <row r="477" spans="2:4" x14ac:dyDescent="0.2">
      <c r="B477" s="67"/>
      <c r="C477" s="67"/>
      <c r="D477" s="67"/>
    </row>
    <row r="478" spans="2:4" x14ac:dyDescent="0.2">
      <c r="B478" s="67"/>
      <c r="C478" s="67"/>
      <c r="D478" s="67"/>
    </row>
    <row r="479" spans="2:4" x14ac:dyDescent="0.2">
      <c r="B479" s="67"/>
      <c r="C479" s="67"/>
      <c r="D479" s="67"/>
    </row>
    <row r="480" spans="2:4" x14ac:dyDescent="0.2">
      <c r="B480" s="67"/>
      <c r="C480" s="67"/>
      <c r="D480" s="67"/>
    </row>
    <row r="481" spans="2:4" x14ac:dyDescent="0.2">
      <c r="B481" s="67"/>
      <c r="C481" s="67"/>
      <c r="D481" s="67"/>
    </row>
    <row r="482" spans="2:4" x14ac:dyDescent="0.2">
      <c r="B482" s="67"/>
      <c r="C482" s="67"/>
      <c r="D482" s="67"/>
    </row>
    <row r="483" spans="2:4" x14ac:dyDescent="0.2">
      <c r="B483" s="67"/>
      <c r="C483" s="67"/>
      <c r="D483" s="67"/>
    </row>
    <row r="484" spans="2:4" x14ac:dyDescent="0.2">
      <c r="B484" s="67"/>
      <c r="C484" s="67"/>
      <c r="D484" s="67"/>
    </row>
    <row r="485" spans="2:4" x14ac:dyDescent="0.2">
      <c r="B485" s="67"/>
      <c r="C485" s="67"/>
      <c r="D485" s="67"/>
    </row>
    <row r="486" spans="2:4" x14ac:dyDescent="0.2">
      <c r="B486" s="67"/>
      <c r="C486" s="67"/>
      <c r="D486" s="67"/>
    </row>
    <row r="487" spans="2:4" x14ac:dyDescent="0.2">
      <c r="B487" s="67"/>
      <c r="C487" s="67"/>
      <c r="D487" s="67"/>
    </row>
    <row r="488" spans="2:4" x14ac:dyDescent="0.2">
      <c r="B488" s="67"/>
      <c r="C488" s="67"/>
      <c r="D488" s="67"/>
    </row>
    <row r="489" spans="2:4" x14ac:dyDescent="0.2">
      <c r="B489" s="67"/>
      <c r="C489" s="67"/>
      <c r="D489" s="67"/>
    </row>
    <row r="490" spans="2:4" x14ac:dyDescent="0.2">
      <c r="B490" s="67"/>
      <c r="C490" s="67"/>
      <c r="D490" s="67"/>
    </row>
    <row r="491" spans="2:4" x14ac:dyDescent="0.2">
      <c r="B491" s="67"/>
      <c r="C491" s="67"/>
      <c r="D491" s="67"/>
    </row>
    <row r="492" spans="2:4" x14ac:dyDescent="0.2">
      <c r="B492" s="67"/>
      <c r="C492" s="67"/>
      <c r="D492" s="67"/>
    </row>
    <row r="493" spans="2:4" x14ac:dyDescent="0.2">
      <c r="B493" s="67"/>
      <c r="C493" s="67"/>
      <c r="D493" s="67"/>
    </row>
    <row r="494" spans="2:4" x14ac:dyDescent="0.2">
      <c r="B494" s="67"/>
      <c r="C494" s="67"/>
      <c r="D494" s="67"/>
    </row>
    <row r="495" spans="2:4" x14ac:dyDescent="0.2">
      <c r="B495" s="67"/>
      <c r="C495" s="67"/>
      <c r="D495" s="67"/>
    </row>
    <row r="496" spans="2:4" x14ac:dyDescent="0.2">
      <c r="B496" s="67"/>
      <c r="C496" s="67"/>
      <c r="D496" s="67"/>
    </row>
    <row r="497" spans="2:4" x14ac:dyDescent="0.2">
      <c r="B497" s="67"/>
      <c r="C497" s="67"/>
      <c r="D497" s="67"/>
    </row>
    <row r="498" spans="2:4" x14ac:dyDescent="0.2">
      <c r="B498" s="67"/>
      <c r="C498" s="67"/>
      <c r="D498" s="67"/>
    </row>
    <row r="499" spans="2:4" x14ac:dyDescent="0.2">
      <c r="B499" s="67"/>
      <c r="C499" s="67"/>
      <c r="D499" s="67"/>
    </row>
    <row r="500" spans="2:4" x14ac:dyDescent="0.2">
      <c r="B500" s="67"/>
      <c r="C500" s="67"/>
      <c r="D500" s="67"/>
    </row>
    <row r="501" spans="2:4" x14ac:dyDescent="0.2">
      <c r="B501" s="67"/>
      <c r="C501" s="67"/>
      <c r="D501" s="67"/>
    </row>
    <row r="502" spans="2:4" x14ac:dyDescent="0.2">
      <c r="B502" s="67"/>
      <c r="C502" s="67"/>
      <c r="D502" s="67"/>
    </row>
    <row r="503" spans="2:4" x14ac:dyDescent="0.2">
      <c r="B503" s="67"/>
      <c r="C503" s="67"/>
      <c r="D503" s="67"/>
    </row>
    <row r="504" spans="2:4" x14ac:dyDescent="0.2">
      <c r="B504" s="67"/>
      <c r="C504" s="67"/>
      <c r="D504" s="67"/>
    </row>
    <row r="505" spans="2:4" x14ac:dyDescent="0.2">
      <c r="B505" s="67"/>
      <c r="C505" s="67"/>
      <c r="D505" s="67"/>
    </row>
    <row r="506" spans="2:4" x14ac:dyDescent="0.2">
      <c r="B506" s="67"/>
      <c r="C506" s="67"/>
      <c r="D506" s="67"/>
    </row>
    <row r="507" spans="2:4" x14ac:dyDescent="0.2">
      <c r="B507" s="67"/>
      <c r="C507" s="67"/>
      <c r="D507" s="67"/>
    </row>
    <row r="508" spans="2:4" x14ac:dyDescent="0.2">
      <c r="B508" s="67"/>
      <c r="C508" s="67"/>
      <c r="D508" s="67"/>
    </row>
    <row r="509" spans="2:4" x14ac:dyDescent="0.2">
      <c r="B509" s="67"/>
      <c r="C509" s="67"/>
      <c r="D509" s="67"/>
    </row>
    <row r="510" spans="2:4" x14ac:dyDescent="0.2">
      <c r="B510" s="67"/>
      <c r="C510" s="67"/>
      <c r="D510" s="67"/>
    </row>
    <row r="511" spans="2:4" x14ac:dyDescent="0.2">
      <c r="B511" s="67"/>
      <c r="C511" s="67"/>
      <c r="D511" s="67"/>
    </row>
    <row r="512" spans="2:4" x14ac:dyDescent="0.2">
      <c r="B512" s="67"/>
      <c r="C512" s="67"/>
      <c r="D512" s="67"/>
    </row>
    <row r="513" spans="2:4" x14ac:dyDescent="0.2">
      <c r="B513" s="67"/>
      <c r="C513" s="67"/>
      <c r="D513" s="67"/>
    </row>
    <row r="514" spans="2:4" x14ac:dyDescent="0.2">
      <c r="B514" s="67"/>
      <c r="C514" s="67"/>
      <c r="D514" s="67"/>
    </row>
    <row r="515" spans="2:4" x14ac:dyDescent="0.2">
      <c r="B515" s="67"/>
      <c r="C515" s="67"/>
      <c r="D515" s="67"/>
    </row>
    <row r="516" spans="2:4" x14ac:dyDescent="0.2">
      <c r="B516" s="67"/>
      <c r="C516" s="67"/>
      <c r="D516" s="67"/>
    </row>
    <row r="517" spans="2:4" x14ac:dyDescent="0.2">
      <c r="B517" s="67"/>
      <c r="C517" s="67"/>
      <c r="D517" s="67"/>
    </row>
    <row r="518" spans="2:4" x14ac:dyDescent="0.2">
      <c r="B518" s="67"/>
      <c r="C518" s="67"/>
      <c r="D518" s="67"/>
    </row>
    <row r="519" spans="2:4" x14ac:dyDescent="0.2">
      <c r="B519" s="67"/>
      <c r="C519" s="67"/>
      <c r="D519" s="67"/>
    </row>
    <row r="520" spans="2:4" x14ac:dyDescent="0.2">
      <c r="B520" s="67"/>
      <c r="C520" s="67"/>
      <c r="D520" s="67"/>
    </row>
    <row r="521" spans="2:4" x14ac:dyDescent="0.2">
      <c r="B521" s="67"/>
      <c r="C521" s="67"/>
      <c r="D521" s="67"/>
    </row>
    <row r="522" spans="2:4" x14ac:dyDescent="0.2">
      <c r="B522" s="67"/>
      <c r="C522" s="67"/>
      <c r="D522" s="67"/>
    </row>
    <row r="523" spans="2:4" x14ac:dyDescent="0.2">
      <c r="B523" s="67"/>
      <c r="C523" s="67"/>
      <c r="D523" s="67"/>
    </row>
    <row r="524" spans="2:4" x14ac:dyDescent="0.2">
      <c r="B524" s="67"/>
      <c r="C524" s="67"/>
      <c r="D524" s="67"/>
    </row>
    <row r="525" spans="2:4" x14ac:dyDescent="0.2">
      <c r="B525" s="67"/>
      <c r="C525" s="67"/>
      <c r="D525" s="67"/>
    </row>
    <row r="526" spans="2:4" x14ac:dyDescent="0.2">
      <c r="B526" s="67"/>
      <c r="C526" s="67"/>
      <c r="D526" s="67"/>
    </row>
    <row r="527" spans="2:4" x14ac:dyDescent="0.2">
      <c r="B527" s="67"/>
      <c r="C527" s="67"/>
      <c r="D527" s="67"/>
    </row>
    <row r="528" spans="2:4" x14ac:dyDescent="0.2">
      <c r="B528" s="67"/>
      <c r="C528" s="67"/>
      <c r="D528" s="67"/>
    </row>
    <row r="529" spans="2:4" x14ac:dyDescent="0.2">
      <c r="B529" s="67"/>
      <c r="C529" s="67"/>
      <c r="D529" s="67"/>
    </row>
    <row r="530" spans="2:4" x14ac:dyDescent="0.2">
      <c r="B530" s="67"/>
      <c r="C530" s="67"/>
      <c r="D530" s="67"/>
    </row>
    <row r="531" spans="2:4" x14ac:dyDescent="0.2">
      <c r="B531" s="67"/>
      <c r="C531" s="67"/>
      <c r="D531" s="67"/>
    </row>
    <row r="532" spans="2:4" x14ac:dyDescent="0.2">
      <c r="B532" s="67"/>
      <c r="C532" s="67"/>
      <c r="D532" s="67"/>
    </row>
    <row r="533" spans="2:4" x14ac:dyDescent="0.2">
      <c r="B533" s="67"/>
      <c r="C533" s="67"/>
      <c r="D533" s="67"/>
    </row>
    <row r="534" spans="2:4" x14ac:dyDescent="0.2">
      <c r="B534" s="67"/>
      <c r="C534" s="67"/>
      <c r="D534" s="67"/>
    </row>
    <row r="535" spans="2:4" x14ac:dyDescent="0.2">
      <c r="B535" s="67"/>
      <c r="C535" s="67"/>
      <c r="D535" s="67"/>
    </row>
    <row r="536" spans="2:4" x14ac:dyDescent="0.2">
      <c r="B536" s="67"/>
      <c r="C536" s="67"/>
      <c r="D536" s="67"/>
    </row>
    <row r="537" spans="2:4" x14ac:dyDescent="0.2">
      <c r="B537" s="67"/>
      <c r="C537" s="67"/>
      <c r="D537" s="67"/>
    </row>
    <row r="538" spans="2:4" x14ac:dyDescent="0.2">
      <c r="B538" s="67"/>
      <c r="C538" s="67"/>
      <c r="D538" s="67"/>
    </row>
    <row r="539" spans="2:4" x14ac:dyDescent="0.2">
      <c r="B539" s="67"/>
      <c r="C539" s="67"/>
      <c r="D539" s="67"/>
    </row>
    <row r="540" spans="2:4" x14ac:dyDescent="0.2">
      <c r="B540" s="67"/>
      <c r="C540" s="67"/>
      <c r="D540" s="67"/>
    </row>
    <row r="541" spans="2:4" x14ac:dyDescent="0.2">
      <c r="B541" s="67"/>
      <c r="C541" s="67"/>
      <c r="D541" s="67"/>
    </row>
    <row r="542" spans="2:4" x14ac:dyDescent="0.2">
      <c r="B542" s="67"/>
      <c r="C542" s="67"/>
      <c r="D542" s="67"/>
    </row>
    <row r="543" spans="2:4" x14ac:dyDescent="0.2">
      <c r="B543" s="67"/>
      <c r="C543" s="67"/>
      <c r="D543" s="67"/>
    </row>
    <row r="544" spans="2:4" x14ac:dyDescent="0.2">
      <c r="B544" s="67"/>
      <c r="C544" s="67"/>
      <c r="D544" s="67"/>
    </row>
    <row r="545" spans="2:4" x14ac:dyDescent="0.2">
      <c r="B545" s="67"/>
      <c r="C545" s="67"/>
      <c r="D545" s="67"/>
    </row>
    <row r="546" spans="2:4" x14ac:dyDescent="0.2">
      <c r="B546" s="67"/>
      <c r="C546" s="67"/>
      <c r="D546" s="67"/>
    </row>
    <row r="547" spans="2:4" x14ac:dyDescent="0.2">
      <c r="B547" s="67"/>
      <c r="C547" s="67"/>
      <c r="D547" s="67"/>
    </row>
    <row r="548" spans="2:4" x14ac:dyDescent="0.2">
      <c r="B548" s="67"/>
      <c r="C548" s="67"/>
      <c r="D548" s="67"/>
    </row>
    <row r="549" spans="2:4" x14ac:dyDescent="0.2">
      <c r="B549" s="67"/>
      <c r="C549" s="67"/>
      <c r="D549" s="67"/>
    </row>
    <row r="550" spans="2:4" x14ac:dyDescent="0.2">
      <c r="B550" s="67"/>
      <c r="C550" s="67"/>
      <c r="D550" s="67"/>
    </row>
    <row r="551" spans="2:4" x14ac:dyDescent="0.2">
      <c r="B551" s="67"/>
      <c r="C551" s="67"/>
      <c r="D551" s="67"/>
    </row>
    <row r="552" spans="2:4" x14ac:dyDescent="0.2">
      <c r="B552" s="67"/>
      <c r="C552" s="67"/>
      <c r="D552" s="67"/>
    </row>
    <row r="553" spans="2:4" x14ac:dyDescent="0.2">
      <c r="B553" s="67"/>
      <c r="C553" s="67"/>
      <c r="D553" s="67"/>
    </row>
    <row r="554" spans="2:4" x14ac:dyDescent="0.2">
      <c r="B554" s="67"/>
      <c r="C554" s="67"/>
      <c r="D554" s="67"/>
    </row>
    <row r="555" spans="2:4" x14ac:dyDescent="0.2">
      <c r="B555" s="67"/>
      <c r="C555" s="67"/>
      <c r="D555" s="67"/>
    </row>
    <row r="556" spans="2:4" x14ac:dyDescent="0.2">
      <c r="B556" s="67"/>
      <c r="C556" s="67"/>
      <c r="D556" s="67"/>
    </row>
    <row r="557" spans="2:4" x14ac:dyDescent="0.2">
      <c r="B557" s="67"/>
      <c r="C557" s="67"/>
      <c r="D557" s="67"/>
    </row>
    <row r="558" spans="2:4" x14ac:dyDescent="0.2">
      <c r="B558" s="67"/>
      <c r="C558" s="67"/>
      <c r="D558" s="67"/>
    </row>
    <row r="559" spans="2:4" x14ac:dyDescent="0.2">
      <c r="B559" s="67"/>
      <c r="C559" s="67"/>
      <c r="D559" s="67"/>
    </row>
    <row r="560" spans="2:4" x14ac:dyDescent="0.2">
      <c r="B560" s="67"/>
      <c r="C560" s="67"/>
      <c r="D560" s="67"/>
    </row>
    <row r="561" spans="2:4" x14ac:dyDescent="0.2">
      <c r="B561" s="67"/>
      <c r="C561" s="67"/>
      <c r="D561" s="67"/>
    </row>
    <row r="562" spans="2:4" x14ac:dyDescent="0.2">
      <c r="B562" s="67"/>
      <c r="C562" s="67"/>
      <c r="D562" s="67"/>
    </row>
    <row r="563" spans="2:4" x14ac:dyDescent="0.2">
      <c r="B563" s="67"/>
      <c r="C563" s="67"/>
      <c r="D563" s="67"/>
    </row>
    <row r="564" spans="2:4" x14ac:dyDescent="0.2">
      <c r="B564" s="67"/>
      <c r="C564" s="67"/>
      <c r="D564" s="67"/>
    </row>
    <row r="565" spans="2:4" x14ac:dyDescent="0.2">
      <c r="B565" s="67"/>
      <c r="C565" s="67"/>
      <c r="D565" s="67"/>
    </row>
    <row r="566" spans="2:4" x14ac:dyDescent="0.2">
      <c r="B566" s="67"/>
      <c r="C566" s="67"/>
      <c r="D566" s="67"/>
    </row>
    <row r="567" spans="2:4" x14ac:dyDescent="0.2">
      <c r="B567" s="67"/>
      <c r="C567" s="67"/>
      <c r="D567" s="67"/>
    </row>
    <row r="568" spans="2:4" x14ac:dyDescent="0.2">
      <c r="B568" s="67"/>
      <c r="C568" s="67"/>
      <c r="D568" s="67"/>
    </row>
    <row r="569" spans="2:4" x14ac:dyDescent="0.2">
      <c r="B569" s="67"/>
      <c r="C569" s="67"/>
      <c r="D569" s="67"/>
    </row>
    <row r="570" spans="2:4" x14ac:dyDescent="0.2">
      <c r="B570" s="67"/>
      <c r="C570" s="67"/>
      <c r="D570" s="67"/>
    </row>
    <row r="571" spans="2:4" x14ac:dyDescent="0.2">
      <c r="B571" s="67"/>
      <c r="C571" s="67"/>
      <c r="D571" s="67"/>
    </row>
    <row r="572" spans="2:4" x14ac:dyDescent="0.2">
      <c r="B572" s="67"/>
      <c r="C572" s="67"/>
      <c r="D572" s="67"/>
    </row>
    <row r="573" spans="2:4" x14ac:dyDescent="0.2">
      <c r="B573" s="67"/>
      <c r="C573" s="67"/>
      <c r="D573" s="67"/>
    </row>
    <row r="574" spans="2:4" x14ac:dyDescent="0.2">
      <c r="B574" s="67"/>
      <c r="C574" s="67"/>
      <c r="D574" s="67"/>
    </row>
    <row r="575" spans="2:4" x14ac:dyDescent="0.2">
      <c r="B575" s="67"/>
      <c r="C575" s="67"/>
      <c r="D575" s="67"/>
    </row>
    <row r="576" spans="2:4" x14ac:dyDescent="0.2">
      <c r="B576" s="67"/>
      <c r="C576" s="67"/>
      <c r="D576" s="67"/>
    </row>
    <row r="577" spans="2:4" x14ac:dyDescent="0.2">
      <c r="B577" s="67"/>
      <c r="C577" s="67"/>
      <c r="D577" s="67"/>
    </row>
    <row r="578" spans="2:4" x14ac:dyDescent="0.2">
      <c r="B578" s="67"/>
      <c r="C578" s="67"/>
      <c r="D578" s="67"/>
    </row>
    <row r="579" spans="2:4" x14ac:dyDescent="0.2">
      <c r="B579" s="67"/>
      <c r="C579" s="67"/>
      <c r="D579" s="67"/>
    </row>
    <row r="580" spans="2:4" x14ac:dyDescent="0.2">
      <c r="B580" s="67"/>
      <c r="C580" s="67"/>
      <c r="D580" s="67"/>
    </row>
    <row r="581" spans="2:4" x14ac:dyDescent="0.2">
      <c r="B581" s="67"/>
      <c r="C581" s="67"/>
      <c r="D581" s="67"/>
    </row>
    <row r="582" spans="2:4" x14ac:dyDescent="0.2">
      <c r="B582" s="67"/>
      <c r="C582" s="67"/>
      <c r="D582" s="67"/>
    </row>
    <row r="583" spans="2:4" x14ac:dyDescent="0.2">
      <c r="B583" s="67"/>
      <c r="C583" s="67"/>
      <c r="D583" s="67"/>
    </row>
    <row r="584" spans="2:4" x14ac:dyDescent="0.2">
      <c r="B584" s="67"/>
      <c r="C584" s="67"/>
      <c r="D584" s="67"/>
    </row>
    <row r="585" spans="2:4" x14ac:dyDescent="0.2">
      <c r="B585" s="67"/>
      <c r="C585" s="67"/>
      <c r="D585" s="67"/>
    </row>
    <row r="586" spans="2:4" x14ac:dyDescent="0.2">
      <c r="B586" s="67"/>
      <c r="C586" s="67"/>
      <c r="D586" s="67"/>
    </row>
    <row r="587" spans="2:4" x14ac:dyDescent="0.2">
      <c r="B587" s="67"/>
      <c r="C587" s="67"/>
      <c r="D587" s="67"/>
    </row>
    <row r="588" spans="2:4" x14ac:dyDescent="0.2">
      <c r="B588" s="67"/>
      <c r="C588" s="67"/>
      <c r="D588" s="67"/>
    </row>
    <row r="589" spans="2:4" x14ac:dyDescent="0.2">
      <c r="B589" s="67"/>
      <c r="C589" s="67"/>
      <c r="D589" s="67"/>
    </row>
    <row r="590" spans="2:4" x14ac:dyDescent="0.2">
      <c r="B590" s="67"/>
      <c r="C590" s="67"/>
      <c r="D590" s="67"/>
    </row>
    <row r="591" spans="2:4" x14ac:dyDescent="0.2">
      <c r="B591" s="67"/>
      <c r="C591" s="67"/>
      <c r="D591" s="67"/>
    </row>
    <row r="592" spans="2:4" x14ac:dyDescent="0.2">
      <c r="B592" s="67"/>
      <c r="C592" s="67"/>
      <c r="D592" s="67"/>
    </row>
    <row r="593" spans="2:4" x14ac:dyDescent="0.2">
      <c r="B593" s="67"/>
      <c r="C593" s="67"/>
      <c r="D593" s="67"/>
    </row>
    <row r="594" spans="2:4" x14ac:dyDescent="0.2">
      <c r="B594" s="67"/>
      <c r="C594" s="67"/>
      <c r="D594" s="67"/>
    </row>
    <row r="595" spans="2:4" x14ac:dyDescent="0.2">
      <c r="B595" s="67"/>
      <c r="C595" s="67"/>
      <c r="D595" s="67"/>
    </row>
    <row r="596" spans="2:4" x14ac:dyDescent="0.2">
      <c r="B596" s="67"/>
      <c r="C596" s="67"/>
      <c r="D596" s="67"/>
    </row>
    <row r="597" spans="2:4" x14ac:dyDescent="0.2">
      <c r="B597" s="67"/>
      <c r="C597" s="67"/>
      <c r="D597" s="67"/>
    </row>
    <row r="598" spans="2:4" x14ac:dyDescent="0.2">
      <c r="B598" s="67"/>
      <c r="C598" s="67"/>
      <c r="D598" s="67"/>
    </row>
    <row r="599" spans="2:4" x14ac:dyDescent="0.2">
      <c r="B599" s="67"/>
      <c r="C599" s="67"/>
      <c r="D599" s="67"/>
    </row>
    <row r="600" spans="2:4" x14ac:dyDescent="0.2">
      <c r="B600" s="67"/>
      <c r="C600" s="67"/>
      <c r="D600" s="67"/>
    </row>
    <row r="601" spans="2:4" x14ac:dyDescent="0.2">
      <c r="B601" s="67"/>
      <c r="C601" s="67"/>
      <c r="D601" s="67"/>
    </row>
    <row r="602" spans="2:4" x14ac:dyDescent="0.2">
      <c r="B602" s="67"/>
      <c r="C602" s="67"/>
      <c r="D602" s="67"/>
    </row>
    <row r="603" spans="2:4" x14ac:dyDescent="0.2">
      <c r="B603" s="67"/>
      <c r="C603" s="67"/>
      <c r="D603" s="67"/>
    </row>
    <row r="604" spans="2:4" x14ac:dyDescent="0.2">
      <c r="B604" s="67"/>
      <c r="C604" s="67"/>
      <c r="D604" s="67"/>
    </row>
    <row r="605" spans="2:4" x14ac:dyDescent="0.2">
      <c r="B605" s="67"/>
      <c r="C605" s="67"/>
      <c r="D605" s="67"/>
    </row>
    <row r="606" spans="2:4" x14ac:dyDescent="0.2">
      <c r="B606" s="67"/>
      <c r="C606" s="67"/>
      <c r="D606" s="67"/>
    </row>
    <row r="607" spans="2:4" x14ac:dyDescent="0.2">
      <c r="B607" s="67"/>
      <c r="C607" s="67"/>
      <c r="D607" s="67"/>
    </row>
    <row r="608" spans="2:4" x14ac:dyDescent="0.2">
      <c r="B608" s="67"/>
      <c r="C608" s="67"/>
      <c r="D608" s="67"/>
    </row>
    <row r="609" spans="2:4" x14ac:dyDescent="0.2">
      <c r="B609" s="67"/>
      <c r="C609" s="67"/>
      <c r="D609" s="67"/>
    </row>
    <row r="610" spans="2:4" x14ac:dyDescent="0.2">
      <c r="B610" s="67"/>
      <c r="C610" s="67"/>
      <c r="D610" s="67"/>
    </row>
    <row r="611" spans="2:4" x14ac:dyDescent="0.2">
      <c r="B611" s="67"/>
      <c r="C611" s="67"/>
      <c r="D611" s="67"/>
    </row>
    <row r="612" spans="2:4" x14ac:dyDescent="0.2">
      <c r="B612" s="67"/>
      <c r="C612" s="67"/>
      <c r="D612" s="67"/>
    </row>
    <row r="613" spans="2:4" x14ac:dyDescent="0.2">
      <c r="B613" s="67"/>
      <c r="C613" s="67"/>
      <c r="D613" s="67"/>
    </row>
    <row r="614" spans="2:4" x14ac:dyDescent="0.2">
      <c r="B614" s="67"/>
      <c r="C614" s="67"/>
      <c r="D614" s="67"/>
    </row>
    <row r="615" spans="2:4" x14ac:dyDescent="0.2">
      <c r="B615" s="67"/>
      <c r="C615" s="67"/>
      <c r="D615" s="67"/>
    </row>
    <row r="616" spans="2:4" x14ac:dyDescent="0.2">
      <c r="B616" s="67"/>
      <c r="C616" s="67"/>
      <c r="D616" s="67"/>
    </row>
    <row r="617" spans="2:4" x14ac:dyDescent="0.2">
      <c r="B617" s="67"/>
      <c r="C617" s="67"/>
      <c r="D617" s="67"/>
    </row>
    <row r="618" spans="2:4" x14ac:dyDescent="0.2">
      <c r="B618" s="67"/>
      <c r="C618" s="67"/>
      <c r="D618" s="67"/>
    </row>
    <row r="619" spans="2:4" x14ac:dyDescent="0.2">
      <c r="B619" s="67"/>
      <c r="C619" s="67"/>
      <c r="D619" s="67"/>
    </row>
    <row r="620" spans="2:4" x14ac:dyDescent="0.2">
      <c r="B620" s="67"/>
      <c r="C620" s="67"/>
      <c r="D620" s="67"/>
    </row>
    <row r="621" spans="2:4" x14ac:dyDescent="0.2">
      <c r="B621" s="67"/>
      <c r="C621" s="67"/>
      <c r="D621" s="67"/>
    </row>
    <row r="622" spans="2:4" x14ac:dyDescent="0.2">
      <c r="B622" s="67"/>
      <c r="C622" s="67"/>
      <c r="D622" s="67"/>
    </row>
    <row r="623" spans="2:4" x14ac:dyDescent="0.2">
      <c r="B623" s="67"/>
      <c r="C623" s="67"/>
      <c r="D623" s="67"/>
    </row>
    <row r="624" spans="2:4" x14ac:dyDescent="0.2">
      <c r="B624" s="67"/>
      <c r="C624" s="67"/>
      <c r="D624" s="67"/>
    </row>
    <row r="625" spans="2:4" x14ac:dyDescent="0.2">
      <c r="B625" s="67"/>
      <c r="C625" s="67"/>
      <c r="D625" s="67"/>
    </row>
    <row r="626" spans="2:4" x14ac:dyDescent="0.2">
      <c r="B626" s="67"/>
      <c r="C626" s="67"/>
      <c r="D626" s="67"/>
    </row>
    <row r="627" spans="2:4" x14ac:dyDescent="0.2">
      <c r="B627" s="67"/>
      <c r="C627" s="67"/>
      <c r="D627" s="67"/>
    </row>
    <row r="628" spans="2:4" x14ac:dyDescent="0.2">
      <c r="B628" s="67"/>
      <c r="C628" s="67"/>
      <c r="D628" s="67"/>
    </row>
    <row r="629" spans="2:4" x14ac:dyDescent="0.2">
      <c r="B629" s="67"/>
      <c r="C629" s="67"/>
      <c r="D629" s="67"/>
    </row>
    <row r="630" spans="2:4" x14ac:dyDescent="0.2">
      <c r="B630" s="67"/>
      <c r="C630" s="67"/>
      <c r="D630" s="67"/>
    </row>
    <row r="631" spans="2:4" x14ac:dyDescent="0.2">
      <c r="B631" s="67"/>
      <c r="C631" s="67"/>
      <c r="D631" s="67"/>
    </row>
    <row r="632" spans="2:4" x14ac:dyDescent="0.2">
      <c r="B632" s="67"/>
      <c r="C632" s="67"/>
      <c r="D632" s="67"/>
    </row>
    <row r="633" spans="2:4" x14ac:dyDescent="0.2">
      <c r="B633" s="67"/>
      <c r="C633" s="67"/>
      <c r="D633" s="67"/>
    </row>
    <row r="634" spans="2:4" x14ac:dyDescent="0.2">
      <c r="B634" s="67"/>
      <c r="C634" s="67"/>
      <c r="D634" s="67"/>
    </row>
    <row r="635" spans="2:4" x14ac:dyDescent="0.2">
      <c r="B635" s="67"/>
      <c r="C635" s="67"/>
      <c r="D635" s="67"/>
    </row>
    <row r="636" spans="2:4" x14ac:dyDescent="0.2">
      <c r="B636" s="67"/>
      <c r="C636" s="67"/>
      <c r="D636" s="67"/>
    </row>
    <row r="637" spans="2:4" x14ac:dyDescent="0.2">
      <c r="B637" s="67"/>
      <c r="C637" s="67"/>
      <c r="D637" s="67"/>
    </row>
    <row r="638" spans="2:4" x14ac:dyDescent="0.2">
      <c r="B638" s="67"/>
      <c r="C638" s="67"/>
      <c r="D638" s="67"/>
    </row>
    <row r="639" spans="2:4" x14ac:dyDescent="0.2">
      <c r="B639" s="67"/>
      <c r="C639" s="67"/>
      <c r="D639" s="67"/>
    </row>
    <row r="640" spans="2:4" x14ac:dyDescent="0.2">
      <c r="B640" s="67"/>
      <c r="C640" s="67"/>
      <c r="D640" s="67"/>
    </row>
    <row r="641" spans="2:4" x14ac:dyDescent="0.2">
      <c r="B641" s="67"/>
      <c r="C641" s="67"/>
      <c r="D641" s="67"/>
    </row>
    <row r="642" spans="2:4" x14ac:dyDescent="0.2">
      <c r="B642" s="67"/>
      <c r="C642" s="67"/>
      <c r="D642" s="67"/>
    </row>
    <row r="643" spans="2:4" x14ac:dyDescent="0.2">
      <c r="B643" s="67"/>
      <c r="C643" s="67"/>
      <c r="D643" s="67"/>
    </row>
    <row r="644" spans="2:4" x14ac:dyDescent="0.2">
      <c r="B644" s="67"/>
      <c r="C644" s="67"/>
      <c r="D644" s="67"/>
    </row>
    <row r="645" spans="2:4" x14ac:dyDescent="0.2">
      <c r="B645" s="67"/>
      <c r="C645" s="67"/>
      <c r="D645" s="67"/>
    </row>
    <row r="646" spans="2:4" x14ac:dyDescent="0.2">
      <c r="B646" s="67"/>
      <c r="C646" s="67"/>
      <c r="D646" s="67"/>
    </row>
    <row r="647" spans="2:4" x14ac:dyDescent="0.2">
      <c r="B647" s="67"/>
      <c r="C647" s="67"/>
      <c r="D647" s="67"/>
    </row>
    <row r="648" spans="2:4" x14ac:dyDescent="0.2">
      <c r="B648" s="67"/>
      <c r="C648" s="67"/>
      <c r="D648" s="67"/>
    </row>
    <row r="649" spans="2:4" x14ac:dyDescent="0.2">
      <c r="B649" s="67"/>
      <c r="C649" s="67"/>
      <c r="D649" s="67"/>
    </row>
    <row r="650" spans="2:4" x14ac:dyDescent="0.2">
      <c r="B650" s="67"/>
      <c r="C650" s="67"/>
      <c r="D650" s="67"/>
    </row>
    <row r="651" spans="2:4" x14ac:dyDescent="0.2">
      <c r="B651" s="67"/>
      <c r="C651" s="67"/>
      <c r="D651" s="67"/>
    </row>
    <row r="652" spans="2:4" x14ac:dyDescent="0.2">
      <c r="B652" s="67"/>
      <c r="C652" s="67"/>
      <c r="D652" s="67"/>
    </row>
    <row r="653" spans="2:4" x14ac:dyDescent="0.2">
      <c r="B653" s="67"/>
      <c r="C653" s="67"/>
      <c r="D653" s="67"/>
    </row>
    <row r="654" spans="2:4" x14ac:dyDescent="0.2">
      <c r="B654" s="67"/>
      <c r="C654" s="67"/>
      <c r="D654" s="67"/>
    </row>
    <row r="655" spans="2:4" x14ac:dyDescent="0.2">
      <c r="B655" s="67"/>
      <c r="C655" s="67"/>
      <c r="D655" s="67"/>
    </row>
    <row r="656" spans="2:4" x14ac:dyDescent="0.2">
      <c r="B656" s="67"/>
      <c r="C656" s="67"/>
      <c r="D656" s="67"/>
    </row>
    <row r="657" spans="2:4" x14ac:dyDescent="0.2">
      <c r="B657" s="67"/>
      <c r="C657" s="67"/>
      <c r="D657" s="67"/>
    </row>
    <row r="658" spans="2:4" x14ac:dyDescent="0.2">
      <c r="B658" s="67"/>
      <c r="C658" s="67"/>
      <c r="D658" s="67"/>
    </row>
    <row r="659" spans="2:4" x14ac:dyDescent="0.2">
      <c r="B659" s="67"/>
      <c r="C659" s="67"/>
      <c r="D659" s="67"/>
    </row>
    <row r="660" spans="2:4" x14ac:dyDescent="0.2">
      <c r="B660" s="67"/>
      <c r="C660" s="67"/>
      <c r="D660" s="67"/>
    </row>
    <row r="661" spans="2:4" x14ac:dyDescent="0.2">
      <c r="B661" s="67"/>
      <c r="C661" s="67"/>
      <c r="D661" s="67"/>
    </row>
    <row r="662" spans="2:4" x14ac:dyDescent="0.2">
      <c r="B662" s="67"/>
      <c r="C662" s="67"/>
      <c r="D662" s="67"/>
    </row>
    <row r="663" spans="2:4" x14ac:dyDescent="0.2">
      <c r="B663" s="67"/>
      <c r="C663" s="67"/>
      <c r="D663" s="67"/>
    </row>
    <row r="664" spans="2:4" x14ac:dyDescent="0.2">
      <c r="B664" s="67"/>
      <c r="C664" s="67"/>
      <c r="D664" s="67"/>
    </row>
    <row r="665" spans="2:4" x14ac:dyDescent="0.2">
      <c r="B665" s="67"/>
      <c r="C665" s="67"/>
      <c r="D665" s="67"/>
    </row>
    <row r="666" spans="2:4" x14ac:dyDescent="0.2">
      <c r="B666" s="67"/>
      <c r="C666" s="67"/>
      <c r="D666" s="67"/>
    </row>
    <row r="667" spans="2:4" x14ac:dyDescent="0.2">
      <c r="B667" s="67"/>
      <c r="C667" s="67"/>
      <c r="D667" s="67"/>
    </row>
    <row r="668" spans="2:4" x14ac:dyDescent="0.2">
      <c r="B668" s="67"/>
      <c r="C668" s="67"/>
      <c r="D668" s="67"/>
    </row>
    <row r="669" spans="2:4" x14ac:dyDescent="0.2">
      <c r="B669" s="67"/>
      <c r="C669" s="67"/>
      <c r="D669" s="67"/>
    </row>
    <row r="670" spans="2:4" x14ac:dyDescent="0.2">
      <c r="B670" s="67"/>
      <c r="C670" s="67"/>
      <c r="D670" s="67"/>
    </row>
    <row r="671" spans="2:4" x14ac:dyDescent="0.2">
      <c r="B671" s="67"/>
      <c r="C671" s="67"/>
      <c r="D671" s="67"/>
    </row>
    <row r="672" spans="2:4" x14ac:dyDescent="0.2">
      <c r="B672" s="67"/>
      <c r="C672" s="67"/>
      <c r="D672" s="67"/>
    </row>
    <row r="673" spans="2:4" x14ac:dyDescent="0.2">
      <c r="B673" s="67"/>
      <c r="C673" s="67"/>
      <c r="D673" s="67"/>
    </row>
    <row r="674" spans="2:4" x14ac:dyDescent="0.2">
      <c r="B674" s="67"/>
      <c r="C674" s="67"/>
      <c r="D674" s="67"/>
    </row>
    <row r="675" spans="2:4" x14ac:dyDescent="0.2">
      <c r="B675" s="67"/>
      <c r="C675" s="67"/>
      <c r="D675" s="67"/>
    </row>
    <row r="676" spans="2:4" x14ac:dyDescent="0.2">
      <c r="B676" s="67"/>
      <c r="C676" s="67"/>
      <c r="D676" s="67"/>
    </row>
    <row r="677" spans="2:4" x14ac:dyDescent="0.2">
      <c r="B677" s="67"/>
      <c r="C677" s="67"/>
      <c r="D677" s="67"/>
    </row>
    <row r="678" spans="2:4" x14ac:dyDescent="0.2">
      <c r="B678" s="67"/>
      <c r="C678" s="67"/>
      <c r="D678" s="67"/>
    </row>
    <row r="679" spans="2:4" x14ac:dyDescent="0.2">
      <c r="B679" s="67"/>
      <c r="C679" s="67"/>
      <c r="D679" s="67"/>
    </row>
    <row r="680" spans="2:4" x14ac:dyDescent="0.2">
      <c r="B680" s="67"/>
      <c r="C680" s="67"/>
      <c r="D680" s="67"/>
    </row>
    <row r="681" spans="2:4" x14ac:dyDescent="0.2">
      <c r="B681" s="67"/>
      <c r="C681" s="67"/>
      <c r="D681" s="67"/>
    </row>
    <row r="682" spans="2:4" x14ac:dyDescent="0.2">
      <c r="B682" s="67"/>
      <c r="C682" s="67"/>
      <c r="D682" s="67"/>
    </row>
    <row r="683" spans="2:4" x14ac:dyDescent="0.2">
      <c r="B683" s="67"/>
      <c r="C683" s="67"/>
      <c r="D683" s="67"/>
    </row>
    <row r="684" spans="2:4" x14ac:dyDescent="0.2">
      <c r="B684" s="67"/>
      <c r="C684" s="67"/>
      <c r="D684" s="67"/>
    </row>
    <row r="685" spans="2:4" x14ac:dyDescent="0.2">
      <c r="B685" s="67"/>
      <c r="C685" s="67"/>
      <c r="D685" s="67"/>
    </row>
    <row r="686" spans="2:4" x14ac:dyDescent="0.2">
      <c r="B686" s="67"/>
      <c r="C686" s="67"/>
      <c r="D686" s="67"/>
    </row>
    <row r="687" spans="2:4" x14ac:dyDescent="0.2">
      <c r="B687" s="67"/>
      <c r="C687" s="67"/>
      <c r="D687" s="67"/>
    </row>
    <row r="688" spans="2:4" x14ac:dyDescent="0.2">
      <c r="B688" s="67"/>
      <c r="C688" s="67"/>
      <c r="D688" s="67"/>
    </row>
    <row r="689" spans="2:4" x14ac:dyDescent="0.2">
      <c r="B689" s="67"/>
      <c r="C689" s="67"/>
      <c r="D689" s="67"/>
    </row>
    <row r="690" spans="2:4" x14ac:dyDescent="0.2">
      <c r="B690" s="67"/>
      <c r="C690" s="67"/>
      <c r="D690" s="67"/>
    </row>
    <row r="691" spans="2:4" x14ac:dyDescent="0.2">
      <c r="B691" s="67"/>
      <c r="C691" s="67"/>
      <c r="D691" s="67"/>
    </row>
    <row r="692" spans="2:4" x14ac:dyDescent="0.2">
      <c r="B692" s="67"/>
      <c r="C692" s="67"/>
      <c r="D692" s="67"/>
    </row>
    <row r="693" spans="2:4" x14ac:dyDescent="0.2">
      <c r="B693" s="67"/>
      <c r="C693" s="67"/>
      <c r="D693" s="67"/>
    </row>
    <row r="694" spans="2:4" x14ac:dyDescent="0.2">
      <c r="B694" s="67"/>
      <c r="C694" s="67"/>
      <c r="D694" s="67"/>
    </row>
    <row r="695" spans="2:4" x14ac:dyDescent="0.2">
      <c r="B695" s="67"/>
      <c r="C695" s="67"/>
      <c r="D695" s="67"/>
    </row>
    <row r="696" spans="2:4" x14ac:dyDescent="0.2">
      <c r="B696" s="67"/>
      <c r="C696" s="67"/>
      <c r="D696" s="67"/>
    </row>
    <row r="697" spans="2:4" x14ac:dyDescent="0.2">
      <c r="B697" s="67"/>
      <c r="C697" s="67"/>
      <c r="D697" s="67"/>
    </row>
    <row r="698" spans="2:4" x14ac:dyDescent="0.2">
      <c r="B698" s="67"/>
      <c r="C698" s="67"/>
      <c r="D698" s="67"/>
    </row>
    <row r="699" spans="2:4" x14ac:dyDescent="0.2">
      <c r="B699" s="67"/>
      <c r="C699" s="67"/>
      <c r="D699" s="67"/>
    </row>
    <row r="700" spans="2:4" x14ac:dyDescent="0.2">
      <c r="B700" s="67"/>
      <c r="C700" s="67"/>
      <c r="D700" s="67"/>
    </row>
    <row r="701" spans="2:4" x14ac:dyDescent="0.2">
      <c r="B701" s="67"/>
      <c r="C701" s="67"/>
      <c r="D701" s="67"/>
    </row>
    <row r="702" spans="2:4" x14ac:dyDescent="0.2">
      <c r="B702" s="67"/>
      <c r="C702" s="67"/>
      <c r="D702" s="67"/>
    </row>
    <row r="703" spans="2:4" x14ac:dyDescent="0.2">
      <c r="B703" s="67"/>
      <c r="C703" s="67"/>
      <c r="D703" s="67"/>
    </row>
    <row r="704" spans="2:4" x14ac:dyDescent="0.2">
      <c r="B704" s="67"/>
      <c r="C704" s="67"/>
      <c r="D704" s="67"/>
    </row>
    <row r="705" spans="2:4" x14ac:dyDescent="0.2">
      <c r="B705" s="67"/>
      <c r="C705" s="67"/>
      <c r="D705" s="67"/>
    </row>
    <row r="706" spans="2:4" x14ac:dyDescent="0.2">
      <c r="B706" s="67"/>
      <c r="C706" s="67"/>
      <c r="D706" s="67"/>
    </row>
    <row r="707" spans="2:4" x14ac:dyDescent="0.2">
      <c r="B707" s="67"/>
      <c r="C707" s="67"/>
      <c r="D707" s="67"/>
    </row>
    <row r="708" spans="2:4" x14ac:dyDescent="0.2">
      <c r="B708" s="67"/>
      <c r="C708" s="67"/>
      <c r="D708" s="67"/>
    </row>
    <row r="709" spans="2:4" x14ac:dyDescent="0.2">
      <c r="B709" s="67"/>
      <c r="C709" s="67"/>
      <c r="D709" s="67"/>
    </row>
    <row r="710" spans="2:4" x14ac:dyDescent="0.2">
      <c r="B710" s="67"/>
      <c r="C710" s="67"/>
      <c r="D710" s="67"/>
    </row>
    <row r="711" spans="2:4" x14ac:dyDescent="0.2">
      <c r="B711" s="67"/>
      <c r="C711" s="67"/>
      <c r="D711" s="67"/>
    </row>
    <row r="712" spans="2:4" x14ac:dyDescent="0.2">
      <c r="B712" s="67"/>
      <c r="C712" s="67"/>
      <c r="D712" s="67"/>
    </row>
    <row r="713" spans="2:4" x14ac:dyDescent="0.2">
      <c r="B713" s="67"/>
      <c r="C713" s="67"/>
      <c r="D713" s="67"/>
    </row>
    <row r="714" spans="2:4" x14ac:dyDescent="0.2">
      <c r="B714" s="67"/>
      <c r="C714" s="67"/>
      <c r="D714" s="67"/>
    </row>
    <row r="715" spans="2:4" x14ac:dyDescent="0.2">
      <c r="B715" s="67"/>
      <c r="C715" s="67"/>
      <c r="D715" s="67"/>
    </row>
    <row r="716" spans="2:4" x14ac:dyDescent="0.2">
      <c r="B716" s="67"/>
      <c r="C716" s="67"/>
      <c r="D716" s="67"/>
    </row>
    <row r="717" spans="2:4" x14ac:dyDescent="0.2">
      <c r="B717" s="67"/>
      <c r="C717" s="67"/>
      <c r="D717" s="67"/>
    </row>
    <row r="718" spans="2:4" x14ac:dyDescent="0.2">
      <c r="B718" s="67"/>
      <c r="C718" s="67"/>
      <c r="D718" s="67"/>
    </row>
    <row r="719" spans="2:4" x14ac:dyDescent="0.2">
      <c r="B719" s="67"/>
      <c r="C719" s="67"/>
      <c r="D719" s="67"/>
    </row>
    <row r="720" spans="2:4" x14ac:dyDescent="0.2">
      <c r="B720" s="67"/>
      <c r="C720" s="67"/>
      <c r="D720" s="67"/>
    </row>
    <row r="721" spans="2:4" x14ac:dyDescent="0.2">
      <c r="B721" s="67"/>
      <c r="C721" s="67"/>
      <c r="D721" s="67"/>
    </row>
    <row r="722" spans="2:4" x14ac:dyDescent="0.2">
      <c r="B722" s="67"/>
      <c r="C722" s="67"/>
      <c r="D722" s="67"/>
    </row>
    <row r="723" spans="2:4" x14ac:dyDescent="0.2">
      <c r="B723" s="67"/>
      <c r="C723" s="67"/>
      <c r="D723" s="67"/>
    </row>
    <row r="724" spans="2:4" x14ac:dyDescent="0.2">
      <c r="B724" s="67"/>
      <c r="C724" s="67"/>
      <c r="D724" s="67"/>
    </row>
    <row r="725" spans="2:4" x14ac:dyDescent="0.2">
      <c r="B725" s="67"/>
      <c r="C725" s="67"/>
      <c r="D725" s="67"/>
    </row>
    <row r="726" spans="2:4" x14ac:dyDescent="0.2">
      <c r="B726" s="67"/>
      <c r="C726" s="67"/>
      <c r="D726" s="67"/>
    </row>
    <row r="727" spans="2:4" x14ac:dyDescent="0.2">
      <c r="B727" s="67"/>
      <c r="C727" s="67"/>
      <c r="D727" s="67"/>
    </row>
    <row r="728" spans="2:4" x14ac:dyDescent="0.2">
      <c r="B728" s="67"/>
      <c r="C728" s="67"/>
      <c r="D728" s="67"/>
    </row>
    <row r="729" spans="2:4" x14ac:dyDescent="0.2">
      <c r="B729" s="67"/>
      <c r="C729" s="67"/>
      <c r="D729" s="67"/>
    </row>
    <row r="730" spans="2:4" x14ac:dyDescent="0.2">
      <c r="B730" s="67"/>
      <c r="C730" s="67"/>
      <c r="D730" s="67"/>
    </row>
    <row r="731" spans="2:4" x14ac:dyDescent="0.2">
      <c r="B731" s="67"/>
      <c r="C731" s="67"/>
      <c r="D731" s="67"/>
    </row>
    <row r="732" spans="2:4" x14ac:dyDescent="0.2">
      <c r="B732" s="67"/>
      <c r="C732" s="67"/>
      <c r="D732" s="67"/>
    </row>
    <row r="733" spans="2:4" x14ac:dyDescent="0.2">
      <c r="B733" s="67"/>
      <c r="C733" s="67"/>
      <c r="D733" s="67"/>
    </row>
    <row r="734" spans="2:4" x14ac:dyDescent="0.2">
      <c r="B734" s="67"/>
      <c r="C734" s="67"/>
      <c r="D734" s="67"/>
    </row>
    <row r="735" spans="2:4" x14ac:dyDescent="0.2">
      <c r="B735" s="67"/>
      <c r="C735" s="67"/>
      <c r="D735" s="67"/>
    </row>
    <row r="736" spans="2:4" x14ac:dyDescent="0.2">
      <c r="B736" s="67"/>
      <c r="C736" s="67"/>
      <c r="D736" s="67"/>
    </row>
    <row r="737" spans="2:4" x14ac:dyDescent="0.2">
      <c r="B737" s="67"/>
      <c r="C737" s="67"/>
      <c r="D737" s="67"/>
    </row>
    <row r="738" spans="2:4" x14ac:dyDescent="0.2">
      <c r="B738" s="67"/>
      <c r="C738" s="67"/>
      <c r="D738" s="67"/>
    </row>
    <row r="739" spans="2:4" x14ac:dyDescent="0.2">
      <c r="B739" s="67"/>
      <c r="C739" s="67"/>
      <c r="D739" s="67"/>
    </row>
    <row r="740" spans="2:4" x14ac:dyDescent="0.2">
      <c r="B740" s="67"/>
      <c r="C740" s="67"/>
      <c r="D740" s="67"/>
    </row>
    <row r="741" spans="2:4" x14ac:dyDescent="0.2">
      <c r="B741" s="67"/>
      <c r="C741" s="67"/>
      <c r="D741" s="67"/>
    </row>
    <row r="742" spans="2:4" x14ac:dyDescent="0.2">
      <c r="B742" s="67"/>
      <c r="C742" s="67"/>
      <c r="D742" s="67"/>
    </row>
    <row r="743" spans="2:4" x14ac:dyDescent="0.2">
      <c r="B743" s="67"/>
      <c r="C743" s="67"/>
      <c r="D743" s="67"/>
    </row>
    <row r="744" spans="2:4" x14ac:dyDescent="0.2">
      <c r="B744" s="67"/>
      <c r="C744" s="67"/>
      <c r="D744" s="67"/>
    </row>
    <row r="745" spans="2:4" x14ac:dyDescent="0.2">
      <c r="B745" s="67"/>
      <c r="C745" s="67"/>
      <c r="D745" s="67"/>
    </row>
    <row r="746" spans="2:4" x14ac:dyDescent="0.2">
      <c r="B746" s="67"/>
      <c r="C746" s="67"/>
      <c r="D746" s="67"/>
    </row>
    <row r="747" spans="2:4" x14ac:dyDescent="0.2">
      <c r="B747" s="67"/>
      <c r="C747" s="67"/>
      <c r="D747" s="67"/>
    </row>
    <row r="748" spans="2:4" x14ac:dyDescent="0.2">
      <c r="B748" s="67"/>
      <c r="C748" s="67"/>
      <c r="D748" s="67"/>
    </row>
    <row r="749" spans="2:4" x14ac:dyDescent="0.2">
      <c r="B749" s="67"/>
      <c r="C749" s="67"/>
      <c r="D749" s="67"/>
    </row>
    <row r="750" spans="2:4" x14ac:dyDescent="0.2">
      <c r="B750" s="67"/>
      <c r="C750" s="67"/>
      <c r="D750" s="67"/>
    </row>
    <row r="751" spans="2:4" x14ac:dyDescent="0.2">
      <c r="B751" s="67"/>
      <c r="C751" s="67"/>
      <c r="D751" s="67"/>
    </row>
    <row r="752" spans="2:4" x14ac:dyDescent="0.2">
      <c r="B752" s="67"/>
      <c r="C752" s="67"/>
      <c r="D752" s="67"/>
    </row>
    <row r="753" spans="2:4" x14ac:dyDescent="0.2">
      <c r="B753" s="67"/>
      <c r="C753" s="67"/>
      <c r="D753" s="67"/>
    </row>
    <row r="754" spans="2:4" x14ac:dyDescent="0.2">
      <c r="B754" s="67"/>
      <c r="C754" s="67"/>
      <c r="D754" s="67"/>
    </row>
    <row r="755" spans="2:4" x14ac:dyDescent="0.2">
      <c r="B755" s="67"/>
      <c r="C755" s="67"/>
      <c r="D755" s="67"/>
    </row>
    <row r="756" spans="2:4" x14ac:dyDescent="0.2">
      <c r="B756" s="67"/>
      <c r="C756" s="67"/>
      <c r="D756" s="67"/>
    </row>
    <row r="757" spans="2:4" x14ac:dyDescent="0.2">
      <c r="B757" s="67"/>
      <c r="C757" s="67"/>
      <c r="D757" s="67"/>
    </row>
    <row r="758" spans="2:4" x14ac:dyDescent="0.2">
      <c r="B758" s="67"/>
      <c r="C758" s="67"/>
      <c r="D758" s="67"/>
    </row>
    <row r="759" spans="2:4" x14ac:dyDescent="0.2">
      <c r="B759" s="67"/>
      <c r="C759" s="67"/>
      <c r="D759" s="67"/>
    </row>
    <row r="760" spans="2:4" x14ac:dyDescent="0.2">
      <c r="B760" s="67"/>
      <c r="C760" s="67"/>
      <c r="D760" s="67"/>
    </row>
    <row r="761" spans="2:4" x14ac:dyDescent="0.2">
      <c r="B761" s="67"/>
      <c r="C761" s="67"/>
      <c r="D761" s="67"/>
    </row>
    <row r="762" spans="2:4" x14ac:dyDescent="0.2">
      <c r="B762" s="67"/>
      <c r="C762" s="67"/>
      <c r="D762" s="67"/>
    </row>
    <row r="763" spans="2:4" x14ac:dyDescent="0.2">
      <c r="B763" s="67"/>
      <c r="C763" s="67"/>
      <c r="D763" s="67"/>
    </row>
    <row r="764" spans="2:4" x14ac:dyDescent="0.2">
      <c r="B764" s="67"/>
      <c r="C764" s="67"/>
      <c r="D764" s="67"/>
    </row>
    <row r="765" spans="2:4" x14ac:dyDescent="0.2">
      <c r="B765" s="67"/>
      <c r="C765" s="67"/>
      <c r="D765" s="67"/>
    </row>
    <row r="766" spans="2:4" x14ac:dyDescent="0.2">
      <c r="B766" s="67"/>
      <c r="C766" s="67"/>
      <c r="D766" s="67"/>
    </row>
    <row r="767" spans="2:4" x14ac:dyDescent="0.2">
      <c r="B767" s="67"/>
      <c r="C767" s="67"/>
      <c r="D767" s="67"/>
    </row>
    <row r="768" spans="2:4" x14ac:dyDescent="0.2">
      <c r="B768" s="67"/>
      <c r="C768" s="67"/>
      <c r="D768" s="67"/>
    </row>
    <row r="769" spans="2:4" x14ac:dyDescent="0.2">
      <c r="B769" s="67"/>
      <c r="C769" s="67"/>
      <c r="D769" s="67"/>
    </row>
    <row r="770" spans="2:4" x14ac:dyDescent="0.2">
      <c r="B770" s="67"/>
      <c r="C770" s="67"/>
      <c r="D770" s="67"/>
    </row>
    <row r="771" spans="2:4" x14ac:dyDescent="0.2">
      <c r="B771" s="67"/>
      <c r="C771" s="67"/>
      <c r="D771" s="67"/>
    </row>
    <row r="772" spans="2:4" x14ac:dyDescent="0.2">
      <c r="B772" s="67"/>
      <c r="C772" s="67"/>
      <c r="D772" s="67"/>
    </row>
    <row r="773" spans="2:4" x14ac:dyDescent="0.2">
      <c r="B773" s="67"/>
      <c r="C773" s="67"/>
      <c r="D773" s="67"/>
    </row>
    <row r="774" spans="2:4" x14ac:dyDescent="0.2">
      <c r="B774" s="67"/>
      <c r="C774" s="67"/>
      <c r="D774" s="67"/>
    </row>
    <row r="775" spans="2:4" x14ac:dyDescent="0.2">
      <c r="B775" s="67"/>
      <c r="C775" s="67"/>
      <c r="D775" s="67"/>
    </row>
    <row r="776" spans="2:4" x14ac:dyDescent="0.2">
      <c r="B776" s="67"/>
      <c r="C776" s="67"/>
      <c r="D776" s="67"/>
    </row>
    <row r="777" spans="2:4" x14ac:dyDescent="0.2">
      <c r="B777" s="67"/>
      <c r="C777" s="67"/>
      <c r="D777" s="67"/>
    </row>
    <row r="778" spans="2:4" x14ac:dyDescent="0.2">
      <c r="B778" s="67"/>
      <c r="C778" s="67"/>
      <c r="D778" s="67"/>
    </row>
    <row r="779" spans="2:4" x14ac:dyDescent="0.2">
      <c r="B779" s="67"/>
      <c r="C779" s="67"/>
      <c r="D779" s="67"/>
    </row>
    <row r="780" spans="2:4" x14ac:dyDescent="0.2">
      <c r="B780" s="67"/>
      <c r="C780" s="67"/>
      <c r="D780" s="67"/>
    </row>
    <row r="781" spans="2:4" x14ac:dyDescent="0.2">
      <c r="B781" s="67"/>
      <c r="C781" s="67"/>
      <c r="D781" s="67"/>
    </row>
    <row r="782" spans="2:4" x14ac:dyDescent="0.2">
      <c r="B782" s="67"/>
      <c r="C782" s="67"/>
      <c r="D782" s="67"/>
    </row>
    <row r="783" spans="2:4" x14ac:dyDescent="0.2">
      <c r="B783" s="67"/>
      <c r="C783" s="67"/>
      <c r="D783" s="67"/>
    </row>
    <row r="784" spans="2:4" x14ac:dyDescent="0.2">
      <c r="B784" s="67"/>
      <c r="C784" s="67"/>
      <c r="D784" s="67"/>
    </row>
    <row r="785" spans="2:4" x14ac:dyDescent="0.2">
      <c r="B785" s="67"/>
      <c r="C785" s="67"/>
      <c r="D785" s="67"/>
    </row>
    <row r="786" spans="2:4" x14ac:dyDescent="0.2">
      <c r="B786" s="67"/>
      <c r="C786" s="67"/>
      <c r="D786" s="67"/>
    </row>
    <row r="787" spans="2:4" x14ac:dyDescent="0.2">
      <c r="B787" s="67"/>
      <c r="C787" s="67"/>
      <c r="D787" s="67"/>
    </row>
    <row r="788" spans="2:4" x14ac:dyDescent="0.2">
      <c r="B788" s="67"/>
      <c r="C788" s="67"/>
      <c r="D788" s="67"/>
    </row>
    <row r="789" spans="2:4" x14ac:dyDescent="0.2">
      <c r="B789" s="67"/>
      <c r="C789" s="67"/>
      <c r="D789" s="67"/>
    </row>
    <row r="790" spans="2:4" x14ac:dyDescent="0.2">
      <c r="B790" s="67"/>
      <c r="C790" s="67"/>
      <c r="D790" s="67"/>
    </row>
    <row r="791" spans="2:4" x14ac:dyDescent="0.2">
      <c r="B791" s="67"/>
      <c r="C791" s="67"/>
      <c r="D791" s="67"/>
    </row>
    <row r="792" spans="2:4" x14ac:dyDescent="0.2">
      <c r="B792" s="67"/>
      <c r="C792" s="67"/>
      <c r="D792" s="67"/>
    </row>
    <row r="793" spans="2:4" x14ac:dyDescent="0.2">
      <c r="B793" s="67"/>
      <c r="C793" s="67"/>
      <c r="D793" s="67"/>
    </row>
    <row r="794" spans="2:4" x14ac:dyDescent="0.2">
      <c r="B794" s="67"/>
      <c r="C794" s="67"/>
      <c r="D794" s="67"/>
    </row>
    <row r="795" spans="2:4" x14ac:dyDescent="0.2">
      <c r="B795" s="67"/>
      <c r="C795" s="67"/>
      <c r="D795" s="67"/>
    </row>
    <row r="796" spans="2:4" x14ac:dyDescent="0.2">
      <c r="B796" s="67"/>
      <c r="C796" s="67"/>
      <c r="D796" s="67"/>
    </row>
    <row r="797" spans="2:4" x14ac:dyDescent="0.2">
      <c r="B797" s="67"/>
      <c r="C797" s="67"/>
      <c r="D797" s="67"/>
    </row>
    <row r="798" spans="2:4" x14ac:dyDescent="0.2">
      <c r="B798" s="67"/>
      <c r="C798" s="67"/>
      <c r="D798" s="67"/>
    </row>
    <row r="799" spans="2:4" x14ac:dyDescent="0.2">
      <c r="B799" s="67"/>
      <c r="C799" s="67"/>
      <c r="D799" s="67"/>
    </row>
    <row r="800" spans="2:4" x14ac:dyDescent="0.2">
      <c r="B800" s="67"/>
      <c r="C800" s="67"/>
      <c r="D800" s="67"/>
    </row>
    <row r="801" spans="2:4" x14ac:dyDescent="0.2">
      <c r="B801" s="67"/>
      <c r="C801" s="67"/>
      <c r="D801" s="67"/>
    </row>
    <row r="802" spans="2:4" x14ac:dyDescent="0.2">
      <c r="B802" s="67"/>
      <c r="C802" s="67"/>
      <c r="D802" s="67"/>
    </row>
    <row r="803" spans="2:4" x14ac:dyDescent="0.2">
      <c r="B803" s="67"/>
      <c r="C803" s="67"/>
      <c r="D803" s="67"/>
    </row>
    <row r="804" spans="2:4" x14ac:dyDescent="0.2">
      <c r="B804" s="67"/>
      <c r="C804" s="67"/>
      <c r="D804" s="67"/>
    </row>
    <row r="805" spans="2:4" x14ac:dyDescent="0.2">
      <c r="B805" s="67"/>
      <c r="C805" s="67"/>
      <c r="D805" s="67"/>
    </row>
    <row r="806" spans="2:4" x14ac:dyDescent="0.2">
      <c r="B806" s="67"/>
      <c r="C806" s="67"/>
      <c r="D806" s="67"/>
    </row>
    <row r="807" spans="2:4" x14ac:dyDescent="0.2">
      <c r="B807" s="67"/>
      <c r="C807" s="67"/>
      <c r="D807" s="67"/>
    </row>
    <row r="808" spans="2:4" x14ac:dyDescent="0.2">
      <c r="B808" s="67"/>
      <c r="C808" s="67"/>
      <c r="D808" s="67"/>
    </row>
    <row r="809" spans="2:4" x14ac:dyDescent="0.2">
      <c r="B809" s="67"/>
      <c r="C809" s="67"/>
      <c r="D809" s="67"/>
    </row>
    <row r="810" spans="2:4" x14ac:dyDescent="0.2">
      <c r="B810" s="67"/>
      <c r="C810" s="67"/>
      <c r="D810" s="67"/>
    </row>
    <row r="811" spans="2:4" x14ac:dyDescent="0.2">
      <c r="B811" s="67"/>
      <c r="C811" s="67"/>
      <c r="D811" s="67"/>
    </row>
    <row r="812" spans="2:4" x14ac:dyDescent="0.2">
      <c r="B812" s="67"/>
      <c r="C812" s="67"/>
      <c r="D812" s="67"/>
    </row>
    <row r="813" spans="2:4" x14ac:dyDescent="0.2">
      <c r="B813" s="67"/>
      <c r="C813" s="67"/>
      <c r="D813" s="67"/>
    </row>
    <row r="814" spans="2:4" x14ac:dyDescent="0.2">
      <c r="B814" s="67"/>
      <c r="C814" s="67"/>
      <c r="D814" s="67"/>
    </row>
    <row r="815" spans="2:4" x14ac:dyDescent="0.2">
      <c r="B815" s="67"/>
      <c r="C815" s="67"/>
      <c r="D815" s="67"/>
    </row>
    <row r="816" spans="2:4" x14ac:dyDescent="0.2">
      <c r="B816" s="67"/>
      <c r="C816" s="67"/>
      <c r="D816" s="67"/>
    </row>
    <row r="817" spans="2:4" x14ac:dyDescent="0.2">
      <c r="B817" s="67"/>
      <c r="C817" s="67"/>
      <c r="D817" s="67"/>
    </row>
    <row r="818" spans="2:4" x14ac:dyDescent="0.2">
      <c r="B818" s="67"/>
      <c r="C818" s="67"/>
      <c r="D818" s="67"/>
    </row>
    <row r="819" spans="2:4" x14ac:dyDescent="0.2">
      <c r="B819" s="67"/>
      <c r="C819" s="67"/>
      <c r="D819" s="67"/>
    </row>
    <row r="820" spans="2:4" x14ac:dyDescent="0.2">
      <c r="B820" s="67"/>
      <c r="C820" s="67"/>
      <c r="D820" s="67"/>
    </row>
    <row r="821" spans="2:4" x14ac:dyDescent="0.2">
      <c r="B821" s="67"/>
      <c r="C821" s="67"/>
      <c r="D821" s="67"/>
    </row>
    <row r="822" spans="2:4" x14ac:dyDescent="0.2">
      <c r="B822" s="67"/>
      <c r="C822" s="67"/>
      <c r="D822" s="67"/>
    </row>
    <row r="823" spans="2:4" x14ac:dyDescent="0.2">
      <c r="B823" s="67"/>
      <c r="C823" s="67"/>
      <c r="D823" s="67"/>
    </row>
    <row r="824" spans="2:4" x14ac:dyDescent="0.2">
      <c r="B824" s="67"/>
      <c r="C824" s="67"/>
      <c r="D824" s="67"/>
    </row>
    <row r="825" spans="2:4" x14ac:dyDescent="0.2">
      <c r="B825" s="67"/>
      <c r="C825" s="67"/>
      <c r="D825" s="67"/>
    </row>
    <row r="826" spans="2:4" x14ac:dyDescent="0.2">
      <c r="B826" s="67"/>
      <c r="C826" s="67"/>
      <c r="D826" s="67"/>
    </row>
    <row r="827" spans="2:4" x14ac:dyDescent="0.2">
      <c r="B827" s="67"/>
      <c r="C827" s="67"/>
      <c r="D827" s="67"/>
    </row>
    <row r="828" spans="2:4" x14ac:dyDescent="0.2">
      <c r="B828" s="67"/>
      <c r="C828" s="67"/>
      <c r="D828" s="67"/>
    </row>
    <row r="829" spans="2:4" x14ac:dyDescent="0.2">
      <c r="B829" s="67"/>
      <c r="C829" s="67"/>
      <c r="D829" s="67"/>
    </row>
    <row r="830" spans="2:4" x14ac:dyDescent="0.2">
      <c r="B830" s="67"/>
      <c r="C830" s="67"/>
      <c r="D830" s="67"/>
    </row>
    <row r="831" spans="2:4" x14ac:dyDescent="0.2">
      <c r="B831" s="67"/>
      <c r="C831" s="67"/>
      <c r="D831" s="67"/>
    </row>
    <row r="832" spans="2:4" x14ac:dyDescent="0.2">
      <c r="B832" s="67"/>
      <c r="C832" s="67"/>
      <c r="D832" s="67"/>
    </row>
    <row r="833" spans="2:4" x14ac:dyDescent="0.2">
      <c r="B833" s="67"/>
      <c r="C833" s="67"/>
      <c r="D833" s="67"/>
    </row>
    <row r="834" spans="2:4" x14ac:dyDescent="0.2">
      <c r="B834" s="67"/>
      <c r="C834" s="67"/>
      <c r="D834" s="67"/>
    </row>
    <row r="835" spans="2:4" x14ac:dyDescent="0.2">
      <c r="B835" s="67"/>
      <c r="C835" s="67"/>
      <c r="D835" s="67"/>
    </row>
    <row r="836" spans="2:4" x14ac:dyDescent="0.2">
      <c r="B836" s="67"/>
      <c r="C836" s="67"/>
      <c r="D836" s="67"/>
    </row>
    <row r="837" spans="2:4" x14ac:dyDescent="0.2">
      <c r="B837" s="67"/>
      <c r="C837" s="67"/>
      <c r="D837" s="67"/>
    </row>
    <row r="838" spans="2:4" x14ac:dyDescent="0.2">
      <c r="B838" s="67"/>
      <c r="C838" s="67"/>
      <c r="D838" s="67"/>
    </row>
    <row r="839" spans="2:4" x14ac:dyDescent="0.2">
      <c r="B839" s="67"/>
      <c r="C839" s="67"/>
      <c r="D839" s="67"/>
    </row>
    <row r="840" spans="2:4" x14ac:dyDescent="0.2">
      <c r="B840" s="67"/>
      <c r="C840" s="67"/>
      <c r="D840" s="67"/>
    </row>
    <row r="841" spans="2:4" x14ac:dyDescent="0.2">
      <c r="B841" s="67"/>
      <c r="C841" s="67"/>
      <c r="D841" s="67"/>
    </row>
    <row r="842" spans="2:4" x14ac:dyDescent="0.2">
      <c r="B842" s="67"/>
      <c r="C842" s="67"/>
      <c r="D842" s="67"/>
    </row>
    <row r="843" spans="2:4" x14ac:dyDescent="0.2">
      <c r="B843" s="67"/>
      <c r="C843" s="67"/>
      <c r="D843" s="67"/>
    </row>
    <row r="844" spans="2:4" x14ac:dyDescent="0.2">
      <c r="B844" s="67"/>
      <c r="C844" s="67"/>
      <c r="D844" s="67"/>
    </row>
    <row r="845" spans="2:4" x14ac:dyDescent="0.2">
      <c r="B845" s="67"/>
      <c r="C845" s="67"/>
      <c r="D845" s="67"/>
    </row>
    <row r="846" spans="2:4" x14ac:dyDescent="0.2">
      <c r="B846" s="67"/>
      <c r="C846" s="67"/>
      <c r="D846" s="67"/>
    </row>
    <row r="847" spans="2:4" x14ac:dyDescent="0.2">
      <c r="B847" s="67"/>
      <c r="C847" s="67"/>
      <c r="D847" s="67"/>
    </row>
    <row r="848" spans="2:4" x14ac:dyDescent="0.2">
      <c r="B848" s="67"/>
      <c r="C848" s="67"/>
      <c r="D848" s="67"/>
    </row>
    <row r="849" spans="2:4" x14ac:dyDescent="0.2">
      <c r="B849" s="67"/>
      <c r="C849" s="67"/>
      <c r="D849" s="67"/>
    </row>
    <row r="850" spans="2:4" x14ac:dyDescent="0.2">
      <c r="B850" s="67"/>
      <c r="C850" s="67"/>
      <c r="D850" s="67"/>
    </row>
    <row r="851" spans="2:4" x14ac:dyDescent="0.2">
      <c r="B851" s="67"/>
      <c r="C851" s="67"/>
      <c r="D851" s="67"/>
    </row>
    <row r="852" spans="2:4" x14ac:dyDescent="0.2">
      <c r="B852" s="67"/>
      <c r="C852" s="67"/>
      <c r="D852" s="67"/>
    </row>
    <row r="853" spans="2:4" x14ac:dyDescent="0.2">
      <c r="B853" s="67"/>
      <c r="C853" s="67"/>
      <c r="D853" s="67"/>
    </row>
    <row r="854" spans="2:4" x14ac:dyDescent="0.2">
      <c r="B854" s="67"/>
      <c r="C854" s="67"/>
      <c r="D854" s="67"/>
    </row>
    <row r="855" spans="2:4" x14ac:dyDescent="0.2">
      <c r="B855" s="67"/>
      <c r="C855" s="67"/>
      <c r="D855" s="67"/>
    </row>
    <row r="856" spans="2:4" x14ac:dyDescent="0.2">
      <c r="B856" s="67"/>
      <c r="C856" s="67"/>
      <c r="D856" s="67"/>
    </row>
    <row r="857" spans="2:4" x14ac:dyDescent="0.2">
      <c r="B857" s="67"/>
      <c r="C857" s="67"/>
      <c r="D857" s="67"/>
    </row>
    <row r="858" spans="2:4" x14ac:dyDescent="0.2">
      <c r="B858" s="67"/>
      <c r="C858" s="67"/>
      <c r="D858" s="67"/>
    </row>
    <row r="859" spans="2:4" x14ac:dyDescent="0.2">
      <c r="B859" s="67"/>
      <c r="C859" s="67"/>
      <c r="D859" s="67"/>
    </row>
    <row r="860" spans="2:4" x14ac:dyDescent="0.2">
      <c r="B860" s="67"/>
      <c r="C860" s="67"/>
      <c r="D860" s="67"/>
    </row>
    <row r="861" spans="2:4" x14ac:dyDescent="0.2">
      <c r="B861" s="67"/>
      <c r="C861" s="67"/>
      <c r="D861" s="67"/>
    </row>
    <row r="862" spans="2:4" x14ac:dyDescent="0.2">
      <c r="B862" s="67"/>
      <c r="C862" s="67"/>
      <c r="D862" s="67"/>
    </row>
    <row r="863" spans="2:4" x14ac:dyDescent="0.2">
      <c r="B863" s="67"/>
      <c r="C863" s="67"/>
      <c r="D863" s="67"/>
    </row>
    <row r="864" spans="2:4" x14ac:dyDescent="0.2">
      <c r="B864" s="67"/>
      <c r="C864" s="67"/>
      <c r="D864" s="67"/>
    </row>
    <row r="865" spans="2:4" x14ac:dyDescent="0.2">
      <c r="B865" s="67"/>
      <c r="C865" s="67"/>
      <c r="D865" s="67"/>
    </row>
    <row r="866" spans="2:4" x14ac:dyDescent="0.2">
      <c r="B866" s="67"/>
      <c r="C866" s="67"/>
      <c r="D866" s="67"/>
    </row>
    <row r="867" spans="2:4" x14ac:dyDescent="0.2">
      <c r="B867" s="67"/>
      <c r="C867" s="67"/>
      <c r="D867" s="67"/>
    </row>
    <row r="868" spans="2:4" x14ac:dyDescent="0.2">
      <c r="B868" s="67"/>
      <c r="C868" s="67"/>
      <c r="D868" s="67"/>
    </row>
    <row r="869" spans="2:4" x14ac:dyDescent="0.2">
      <c r="B869" s="67"/>
      <c r="C869" s="67"/>
      <c r="D869" s="67"/>
    </row>
    <row r="870" spans="2:4" x14ac:dyDescent="0.2">
      <c r="B870" s="67"/>
      <c r="C870" s="67"/>
      <c r="D870" s="67"/>
    </row>
    <row r="871" spans="2:4" x14ac:dyDescent="0.2">
      <c r="B871" s="67"/>
      <c r="C871" s="67"/>
      <c r="D871" s="67"/>
    </row>
    <row r="872" spans="2:4" x14ac:dyDescent="0.2">
      <c r="B872" s="67"/>
      <c r="C872" s="67"/>
      <c r="D872" s="67"/>
    </row>
    <row r="873" spans="2:4" x14ac:dyDescent="0.2">
      <c r="B873" s="67"/>
      <c r="C873" s="67"/>
      <c r="D873" s="67"/>
    </row>
    <row r="874" spans="2:4" x14ac:dyDescent="0.2">
      <c r="B874" s="67"/>
      <c r="C874" s="67"/>
      <c r="D874" s="67"/>
    </row>
    <row r="875" spans="2:4" x14ac:dyDescent="0.2">
      <c r="B875" s="67"/>
      <c r="C875" s="67"/>
      <c r="D875" s="67"/>
    </row>
    <row r="876" spans="2:4" x14ac:dyDescent="0.2">
      <c r="B876" s="67"/>
      <c r="C876" s="67"/>
      <c r="D876" s="67"/>
    </row>
    <row r="877" spans="2:4" x14ac:dyDescent="0.2">
      <c r="B877" s="67"/>
      <c r="C877" s="67"/>
      <c r="D877" s="67"/>
    </row>
    <row r="878" spans="2:4" x14ac:dyDescent="0.2">
      <c r="B878" s="67"/>
      <c r="C878" s="67"/>
      <c r="D878" s="67"/>
    </row>
    <row r="879" spans="2:4" x14ac:dyDescent="0.2">
      <c r="B879" s="67"/>
      <c r="C879" s="67"/>
      <c r="D879" s="67"/>
    </row>
    <row r="880" spans="2:4" x14ac:dyDescent="0.2">
      <c r="B880" s="67"/>
      <c r="C880" s="67"/>
      <c r="D880" s="67"/>
    </row>
    <row r="881" spans="2:4" x14ac:dyDescent="0.2">
      <c r="B881" s="67"/>
      <c r="C881" s="67"/>
      <c r="D881" s="67"/>
    </row>
    <row r="882" spans="2:4" x14ac:dyDescent="0.2">
      <c r="B882" s="67"/>
      <c r="C882" s="67"/>
      <c r="D882" s="67"/>
    </row>
    <row r="883" spans="2:4" x14ac:dyDescent="0.2">
      <c r="B883" s="67"/>
      <c r="C883" s="67"/>
      <c r="D883" s="67"/>
    </row>
    <row r="884" spans="2:4" x14ac:dyDescent="0.2">
      <c r="B884" s="67"/>
      <c r="C884" s="67"/>
      <c r="D884" s="67"/>
    </row>
    <row r="885" spans="2:4" x14ac:dyDescent="0.2">
      <c r="B885" s="67"/>
      <c r="C885" s="67"/>
      <c r="D885" s="67"/>
    </row>
    <row r="886" spans="2:4" x14ac:dyDescent="0.2">
      <c r="B886" s="67"/>
      <c r="C886" s="67"/>
      <c r="D886" s="67"/>
    </row>
    <row r="887" spans="2:4" x14ac:dyDescent="0.2">
      <c r="B887" s="67"/>
      <c r="C887" s="67"/>
      <c r="D887" s="67"/>
    </row>
    <row r="888" spans="2:4" x14ac:dyDescent="0.2">
      <c r="B888" s="67"/>
      <c r="C888" s="67"/>
      <c r="D888" s="67"/>
    </row>
    <row r="889" spans="2:4" x14ac:dyDescent="0.2">
      <c r="B889" s="67"/>
      <c r="C889" s="67"/>
      <c r="D889" s="67"/>
    </row>
    <row r="890" spans="2:4" x14ac:dyDescent="0.2">
      <c r="B890" s="67"/>
      <c r="C890" s="67"/>
      <c r="D890" s="67"/>
    </row>
    <row r="891" spans="2:4" x14ac:dyDescent="0.2">
      <c r="B891" s="67"/>
      <c r="C891" s="67"/>
      <c r="D891" s="67"/>
    </row>
    <row r="892" spans="2:4" x14ac:dyDescent="0.2">
      <c r="B892" s="67"/>
      <c r="C892" s="67"/>
      <c r="D892" s="67"/>
    </row>
    <row r="893" spans="2:4" x14ac:dyDescent="0.2">
      <c r="B893" s="67"/>
      <c r="C893" s="67"/>
      <c r="D893" s="67"/>
    </row>
    <row r="894" spans="2:4" x14ac:dyDescent="0.2">
      <c r="B894" s="67"/>
      <c r="C894" s="67"/>
      <c r="D894" s="67"/>
    </row>
    <row r="895" spans="2:4" x14ac:dyDescent="0.2">
      <c r="B895" s="67"/>
      <c r="C895" s="67"/>
      <c r="D895" s="67"/>
    </row>
    <row r="896" spans="2:4" x14ac:dyDescent="0.2">
      <c r="B896" s="67"/>
      <c r="C896" s="67"/>
      <c r="D896" s="67"/>
    </row>
    <row r="897" spans="2:4" x14ac:dyDescent="0.2">
      <c r="B897" s="67"/>
      <c r="C897" s="67"/>
      <c r="D897" s="67"/>
    </row>
    <row r="898" spans="2:4" x14ac:dyDescent="0.2">
      <c r="B898" s="67"/>
      <c r="C898" s="67"/>
      <c r="D898" s="67"/>
    </row>
    <row r="899" spans="2:4" x14ac:dyDescent="0.2">
      <c r="B899" s="67"/>
      <c r="C899" s="67"/>
      <c r="D899" s="67"/>
    </row>
    <row r="900" spans="2:4" x14ac:dyDescent="0.2">
      <c r="B900" s="67"/>
      <c r="C900" s="67"/>
      <c r="D900" s="67"/>
    </row>
    <row r="901" spans="2:4" x14ac:dyDescent="0.2">
      <c r="B901" s="67"/>
      <c r="C901" s="67"/>
      <c r="D901" s="67"/>
    </row>
    <row r="902" spans="2:4" x14ac:dyDescent="0.2">
      <c r="B902" s="67"/>
      <c r="C902" s="67"/>
      <c r="D902" s="67"/>
    </row>
    <row r="903" spans="2:4" x14ac:dyDescent="0.2">
      <c r="B903" s="67"/>
      <c r="C903" s="67"/>
      <c r="D903" s="67"/>
    </row>
    <row r="904" spans="2:4" x14ac:dyDescent="0.2">
      <c r="B904" s="67"/>
      <c r="C904" s="67"/>
      <c r="D904" s="67"/>
    </row>
    <row r="905" spans="2:4" x14ac:dyDescent="0.2">
      <c r="B905" s="67"/>
      <c r="C905" s="67"/>
      <c r="D905" s="67"/>
    </row>
    <row r="906" spans="2:4" x14ac:dyDescent="0.2">
      <c r="B906" s="67"/>
      <c r="C906" s="67"/>
      <c r="D906" s="67"/>
    </row>
    <row r="907" spans="2:4" x14ac:dyDescent="0.2">
      <c r="B907" s="67"/>
      <c r="C907" s="67"/>
      <c r="D907" s="67"/>
    </row>
    <row r="908" spans="2:4" x14ac:dyDescent="0.2">
      <c r="B908" s="67"/>
      <c r="C908" s="67"/>
      <c r="D908" s="67"/>
    </row>
    <row r="909" spans="2:4" x14ac:dyDescent="0.2">
      <c r="B909" s="67"/>
      <c r="C909" s="67"/>
      <c r="D909" s="67"/>
    </row>
    <row r="910" spans="2:4" x14ac:dyDescent="0.2">
      <c r="B910" s="67"/>
      <c r="C910" s="67"/>
      <c r="D910" s="67"/>
    </row>
    <row r="911" spans="2:4" x14ac:dyDescent="0.2">
      <c r="B911" s="67"/>
      <c r="C911" s="67"/>
      <c r="D911" s="67"/>
    </row>
    <row r="912" spans="2:4" x14ac:dyDescent="0.2">
      <c r="B912" s="67"/>
      <c r="C912" s="67"/>
      <c r="D912" s="67"/>
    </row>
    <row r="913" spans="2:4" x14ac:dyDescent="0.2">
      <c r="B913" s="67"/>
      <c r="C913" s="67"/>
      <c r="D913" s="67"/>
    </row>
    <row r="914" spans="2:4" x14ac:dyDescent="0.2">
      <c r="B914" s="67"/>
      <c r="C914" s="67"/>
      <c r="D914" s="67"/>
    </row>
    <row r="915" spans="2:4" x14ac:dyDescent="0.2">
      <c r="B915" s="67"/>
      <c r="C915" s="67"/>
      <c r="D915" s="67"/>
    </row>
    <row r="916" spans="2:4" x14ac:dyDescent="0.2">
      <c r="B916" s="67"/>
      <c r="C916" s="67"/>
      <c r="D916" s="67"/>
    </row>
    <row r="917" spans="2:4" x14ac:dyDescent="0.2">
      <c r="B917" s="67"/>
      <c r="C917" s="67"/>
      <c r="D917" s="67"/>
    </row>
    <row r="918" spans="2:4" x14ac:dyDescent="0.2">
      <c r="B918" s="67"/>
      <c r="C918" s="67"/>
      <c r="D918" s="67"/>
    </row>
    <row r="919" spans="2:4" x14ac:dyDescent="0.2">
      <c r="B919" s="67"/>
      <c r="C919" s="67"/>
      <c r="D919" s="67"/>
    </row>
    <row r="920" spans="2:4" x14ac:dyDescent="0.2">
      <c r="B920" s="67"/>
      <c r="C920" s="67"/>
      <c r="D920" s="67"/>
    </row>
    <row r="921" spans="2:4" x14ac:dyDescent="0.2">
      <c r="B921" s="67"/>
      <c r="C921" s="67"/>
      <c r="D921" s="67"/>
    </row>
    <row r="922" spans="2:4" x14ac:dyDescent="0.2">
      <c r="B922" s="67"/>
      <c r="C922" s="67"/>
      <c r="D922" s="67"/>
    </row>
    <row r="923" spans="2:4" x14ac:dyDescent="0.2">
      <c r="B923" s="67"/>
      <c r="C923" s="67"/>
      <c r="D923" s="67"/>
    </row>
    <row r="924" spans="2:4" x14ac:dyDescent="0.2">
      <c r="B924" s="67"/>
      <c r="C924" s="67"/>
      <c r="D924" s="67"/>
    </row>
    <row r="925" spans="2:4" x14ac:dyDescent="0.2">
      <c r="B925" s="67"/>
      <c r="C925" s="67"/>
      <c r="D925" s="67"/>
    </row>
    <row r="926" spans="2:4" x14ac:dyDescent="0.2">
      <c r="B926" s="67"/>
      <c r="C926" s="67"/>
      <c r="D926" s="67"/>
    </row>
    <row r="927" spans="2:4" x14ac:dyDescent="0.2">
      <c r="B927" s="67"/>
      <c r="C927" s="67"/>
      <c r="D927" s="67"/>
    </row>
    <row r="928" spans="2:4" x14ac:dyDescent="0.2">
      <c r="B928" s="67"/>
      <c r="C928" s="67"/>
      <c r="D928" s="67"/>
    </row>
    <row r="929" spans="2:4" x14ac:dyDescent="0.2">
      <c r="B929" s="67"/>
      <c r="C929" s="67"/>
      <c r="D929" s="67"/>
    </row>
    <row r="930" spans="2:4" x14ac:dyDescent="0.2">
      <c r="B930" s="67"/>
      <c r="C930" s="67"/>
      <c r="D930" s="67"/>
    </row>
    <row r="931" spans="2:4" x14ac:dyDescent="0.2">
      <c r="B931" s="67"/>
      <c r="C931" s="67"/>
      <c r="D931" s="67"/>
    </row>
    <row r="932" spans="2:4" x14ac:dyDescent="0.2">
      <c r="B932" s="67"/>
      <c r="C932" s="67"/>
      <c r="D932" s="67"/>
    </row>
    <row r="933" spans="2:4" x14ac:dyDescent="0.2">
      <c r="B933" s="67"/>
      <c r="C933" s="67"/>
      <c r="D933" s="67"/>
    </row>
    <row r="934" spans="2:4" x14ac:dyDescent="0.2">
      <c r="B934" s="67"/>
      <c r="C934" s="67"/>
      <c r="D934" s="67"/>
    </row>
    <row r="935" spans="2:4" x14ac:dyDescent="0.2">
      <c r="B935" s="67"/>
      <c r="C935" s="67"/>
      <c r="D935" s="67"/>
    </row>
    <row r="936" spans="2:4" x14ac:dyDescent="0.2">
      <c r="B936" s="67"/>
      <c r="C936" s="67"/>
      <c r="D936" s="67"/>
    </row>
    <row r="937" spans="2:4" x14ac:dyDescent="0.2">
      <c r="B937" s="67"/>
      <c r="C937" s="67"/>
      <c r="D937" s="67"/>
    </row>
    <row r="938" spans="2:4" x14ac:dyDescent="0.2">
      <c r="B938" s="67"/>
      <c r="C938" s="67"/>
      <c r="D938" s="67"/>
    </row>
    <row r="939" spans="2:4" x14ac:dyDescent="0.2">
      <c r="B939" s="67"/>
      <c r="C939" s="67"/>
      <c r="D939" s="67"/>
    </row>
    <row r="940" spans="2:4" x14ac:dyDescent="0.2">
      <c r="B940" s="67"/>
      <c r="C940" s="67"/>
      <c r="D940" s="67"/>
    </row>
    <row r="941" spans="2:4" x14ac:dyDescent="0.2">
      <c r="B941" s="67"/>
      <c r="C941" s="67"/>
      <c r="D941" s="67"/>
    </row>
    <row r="942" spans="2:4" x14ac:dyDescent="0.2">
      <c r="B942" s="67"/>
      <c r="C942" s="67"/>
      <c r="D942" s="67"/>
    </row>
    <row r="943" spans="2:4" x14ac:dyDescent="0.2">
      <c r="B943" s="67"/>
      <c r="C943" s="67"/>
      <c r="D943" s="67"/>
    </row>
    <row r="944" spans="2:4" x14ac:dyDescent="0.2">
      <c r="B944" s="67"/>
      <c r="C944" s="67"/>
      <c r="D944" s="67"/>
    </row>
    <row r="945" spans="2:4" x14ac:dyDescent="0.2">
      <c r="B945" s="67"/>
      <c r="C945" s="67"/>
      <c r="D945" s="67"/>
    </row>
    <row r="946" spans="2:4" x14ac:dyDescent="0.2">
      <c r="B946" s="67"/>
      <c r="C946" s="67"/>
      <c r="D946" s="67"/>
    </row>
    <row r="947" spans="2:4" x14ac:dyDescent="0.2">
      <c r="B947" s="67"/>
      <c r="C947" s="67"/>
      <c r="D947" s="67"/>
    </row>
    <row r="948" spans="2:4" x14ac:dyDescent="0.2">
      <c r="B948" s="67"/>
      <c r="C948" s="67"/>
      <c r="D948" s="67"/>
    </row>
    <row r="949" spans="2:4" x14ac:dyDescent="0.2">
      <c r="B949" s="67"/>
      <c r="C949" s="67"/>
      <c r="D949" s="67"/>
    </row>
    <row r="950" spans="2:4" x14ac:dyDescent="0.2">
      <c r="B950" s="67"/>
      <c r="C950" s="67"/>
      <c r="D950" s="67"/>
    </row>
    <row r="951" spans="2:4" x14ac:dyDescent="0.2">
      <c r="B951" s="67"/>
      <c r="C951" s="67"/>
      <c r="D951" s="67"/>
    </row>
    <row r="952" spans="2:4" x14ac:dyDescent="0.2">
      <c r="B952" s="67"/>
      <c r="C952" s="67"/>
      <c r="D952" s="67"/>
    </row>
    <row r="953" spans="2:4" x14ac:dyDescent="0.2">
      <c r="B953" s="67"/>
      <c r="C953" s="67"/>
      <c r="D953" s="67"/>
    </row>
    <row r="954" spans="2:4" x14ac:dyDescent="0.2">
      <c r="B954" s="67"/>
      <c r="C954" s="67"/>
      <c r="D954" s="67"/>
    </row>
    <row r="955" spans="2:4" x14ac:dyDescent="0.2">
      <c r="B955" s="67"/>
      <c r="C955" s="67"/>
      <c r="D955" s="67"/>
    </row>
    <row r="956" spans="2:4" x14ac:dyDescent="0.2">
      <c r="B956" s="67"/>
      <c r="C956" s="67"/>
      <c r="D956" s="67"/>
    </row>
    <row r="957" spans="2:4" x14ac:dyDescent="0.2">
      <c r="B957" s="67"/>
      <c r="C957" s="67"/>
      <c r="D957" s="67"/>
    </row>
    <row r="958" spans="2:4" x14ac:dyDescent="0.2">
      <c r="B958" s="67"/>
      <c r="C958" s="67"/>
      <c r="D958" s="67"/>
    </row>
    <row r="959" spans="2:4" x14ac:dyDescent="0.2">
      <c r="B959" s="67"/>
      <c r="C959" s="67"/>
      <c r="D959" s="67"/>
    </row>
    <row r="960" spans="2:4" x14ac:dyDescent="0.2">
      <c r="B960" s="67"/>
      <c r="C960" s="67"/>
      <c r="D960" s="67"/>
    </row>
    <row r="961" spans="2:4" x14ac:dyDescent="0.2">
      <c r="B961" s="67"/>
      <c r="C961" s="67"/>
      <c r="D961" s="67"/>
    </row>
    <row r="962" spans="2:4" x14ac:dyDescent="0.2">
      <c r="B962" s="67"/>
      <c r="C962" s="67"/>
      <c r="D962" s="67"/>
    </row>
    <row r="963" spans="2:4" x14ac:dyDescent="0.2">
      <c r="B963" s="67"/>
      <c r="C963" s="67"/>
      <c r="D963" s="67"/>
    </row>
    <row r="964" spans="2:4" x14ac:dyDescent="0.2">
      <c r="B964" s="67"/>
      <c r="C964" s="67"/>
      <c r="D964" s="67"/>
    </row>
    <row r="965" spans="2:4" x14ac:dyDescent="0.2">
      <c r="B965" s="67"/>
      <c r="C965" s="67"/>
      <c r="D965" s="67"/>
    </row>
    <row r="966" spans="2:4" x14ac:dyDescent="0.2">
      <c r="B966" s="67"/>
      <c r="C966" s="67"/>
      <c r="D966" s="67"/>
    </row>
    <row r="967" spans="2:4" x14ac:dyDescent="0.2">
      <c r="B967" s="67"/>
      <c r="C967" s="67"/>
      <c r="D967" s="67"/>
    </row>
    <row r="968" spans="2:4" x14ac:dyDescent="0.2">
      <c r="B968" s="67"/>
      <c r="C968" s="67"/>
      <c r="D968" s="67"/>
    </row>
    <row r="969" spans="2:4" x14ac:dyDescent="0.2">
      <c r="B969" s="67"/>
      <c r="C969" s="67"/>
      <c r="D969" s="67"/>
    </row>
    <row r="970" spans="2:4" x14ac:dyDescent="0.2">
      <c r="B970" s="67"/>
      <c r="C970" s="67"/>
      <c r="D970" s="67"/>
    </row>
    <row r="971" spans="2:4" x14ac:dyDescent="0.2">
      <c r="B971" s="67"/>
      <c r="C971" s="67"/>
      <c r="D971" s="67"/>
    </row>
    <row r="972" spans="2:4" x14ac:dyDescent="0.2">
      <c r="B972" s="67"/>
      <c r="C972" s="67"/>
      <c r="D972" s="67"/>
    </row>
    <row r="973" spans="2:4" x14ac:dyDescent="0.2">
      <c r="B973" s="67"/>
      <c r="C973" s="67"/>
      <c r="D973" s="67"/>
    </row>
    <row r="974" spans="2:4" x14ac:dyDescent="0.2">
      <c r="B974" s="67"/>
      <c r="C974" s="67"/>
      <c r="D974" s="67"/>
    </row>
    <row r="975" spans="2:4" x14ac:dyDescent="0.2">
      <c r="B975" s="67"/>
      <c r="C975" s="67"/>
      <c r="D975" s="67"/>
    </row>
    <row r="976" spans="2:4" x14ac:dyDescent="0.2">
      <c r="B976" s="67"/>
      <c r="C976" s="67"/>
      <c r="D976" s="67"/>
    </row>
    <row r="977" spans="2:4" x14ac:dyDescent="0.2">
      <c r="B977" s="67"/>
      <c r="C977" s="67"/>
      <c r="D977" s="67"/>
    </row>
    <row r="978" spans="2:4" x14ac:dyDescent="0.2">
      <c r="B978" s="67"/>
      <c r="C978" s="67"/>
      <c r="D978" s="67"/>
    </row>
    <row r="979" spans="2:4" x14ac:dyDescent="0.2">
      <c r="B979" s="67"/>
      <c r="C979" s="67"/>
      <c r="D979" s="67"/>
    </row>
    <row r="980" spans="2:4" x14ac:dyDescent="0.2">
      <c r="B980" s="67"/>
      <c r="C980" s="67"/>
      <c r="D980" s="67"/>
    </row>
    <row r="981" spans="2:4" x14ac:dyDescent="0.2">
      <c r="B981" s="67"/>
      <c r="C981" s="67"/>
      <c r="D981" s="67"/>
    </row>
    <row r="982" spans="2:4" x14ac:dyDescent="0.2">
      <c r="B982" s="67"/>
      <c r="C982" s="67"/>
      <c r="D982" s="67"/>
    </row>
    <row r="983" spans="2:4" x14ac:dyDescent="0.2">
      <c r="B983" s="67"/>
      <c r="C983" s="67"/>
      <c r="D983" s="67"/>
    </row>
    <row r="984" spans="2:4" x14ac:dyDescent="0.2">
      <c r="B984" s="67"/>
      <c r="C984" s="67"/>
      <c r="D984" s="67"/>
    </row>
    <row r="985" spans="2:4" x14ac:dyDescent="0.2">
      <c r="B985" s="67"/>
      <c r="C985" s="67"/>
      <c r="D985" s="67"/>
    </row>
    <row r="986" spans="2:4" x14ac:dyDescent="0.2">
      <c r="B986" s="67"/>
      <c r="C986" s="67"/>
      <c r="D986" s="67"/>
    </row>
    <row r="987" spans="2:4" x14ac:dyDescent="0.2">
      <c r="B987" s="67"/>
      <c r="C987" s="67"/>
      <c r="D987" s="67"/>
    </row>
    <row r="988" spans="2:4" x14ac:dyDescent="0.2">
      <c r="B988" s="67"/>
      <c r="C988" s="67"/>
      <c r="D988" s="67"/>
    </row>
    <row r="989" spans="2:4" x14ac:dyDescent="0.2">
      <c r="B989" s="67"/>
      <c r="C989" s="67"/>
      <c r="D989" s="67"/>
    </row>
    <row r="990" spans="2:4" x14ac:dyDescent="0.2">
      <c r="B990" s="67"/>
      <c r="C990" s="67"/>
      <c r="D990" s="67"/>
    </row>
    <row r="991" spans="2:4" x14ac:dyDescent="0.2">
      <c r="B991" s="67"/>
      <c r="C991" s="67"/>
      <c r="D991" s="67"/>
    </row>
    <row r="992" spans="2:4" x14ac:dyDescent="0.2">
      <c r="B992" s="67"/>
      <c r="C992" s="67"/>
      <c r="D992" s="67"/>
    </row>
    <row r="993" spans="2:4" x14ac:dyDescent="0.2">
      <c r="B993" s="67"/>
      <c r="C993" s="67"/>
      <c r="D993" s="67"/>
    </row>
    <row r="994" spans="2:4" x14ac:dyDescent="0.2">
      <c r="B994" s="67"/>
      <c r="C994" s="67"/>
      <c r="D994" s="67"/>
    </row>
    <row r="995" spans="2:4" x14ac:dyDescent="0.2">
      <c r="B995" s="67"/>
      <c r="C995" s="67"/>
      <c r="D995" s="67"/>
    </row>
    <row r="996" spans="2:4" x14ac:dyDescent="0.2">
      <c r="B996" s="67"/>
      <c r="C996" s="67"/>
      <c r="D996" s="67"/>
    </row>
    <row r="997" spans="2:4" x14ac:dyDescent="0.2">
      <c r="B997" s="67"/>
      <c r="C997" s="67"/>
      <c r="D997" s="67"/>
    </row>
    <row r="998" spans="2:4" x14ac:dyDescent="0.2">
      <c r="B998" s="67"/>
      <c r="C998" s="67"/>
      <c r="D998" s="67"/>
    </row>
    <row r="999" spans="2:4" x14ac:dyDescent="0.2">
      <c r="B999" s="67"/>
      <c r="C999" s="67"/>
      <c r="D999" s="67"/>
    </row>
    <row r="1000" spans="2:4" x14ac:dyDescent="0.2">
      <c r="B1000" s="67"/>
      <c r="C1000" s="67"/>
      <c r="D1000" s="67"/>
    </row>
    <row r="1001" spans="2:4" x14ac:dyDescent="0.2">
      <c r="B1001" s="67"/>
      <c r="C1001" s="67"/>
      <c r="D1001" s="67"/>
    </row>
    <row r="1002" spans="2:4" x14ac:dyDescent="0.2">
      <c r="B1002" s="67"/>
      <c r="C1002" s="67"/>
      <c r="D1002" s="67"/>
    </row>
    <row r="1003" spans="2:4" x14ac:dyDescent="0.2">
      <c r="B1003" s="67"/>
      <c r="C1003" s="67"/>
      <c r="D1003" s="67"/>
    </row>
    <row r="1004" spans="2:4" x14ac:dyDescent="0.2">
      <c r="B1004" s="67"/>
      <c r="C1004" s="67"/>
      <c r="D1004" s="67"/>
    </row>
    <row r="1005" spans="2:4" x14ac:dyDescent="0.2">
      <c r="B1005" s="67"/>
      <c r="C1005" s="67"/>
      <c r="D1005" s="67"/>
    </row>
    <row r="1006" spans="2:4" x14ac:dyDescent="0.2">
      <c r="B1006" s="67"/>
      <c r="C1006" s="67"/>
      <c r="D1006" s="67"/>
    </row>
    <row r="1007" spans="2:4" x14ac:dyDescent="0.2">
      <c r="B1007" s="67"/>
      <c r="C1007" s="67"/>
      <c r="D1007" s="67"/>
    </row>
    <row r="1008" spans="2:4" x14ac:dyDescent="0.2">
      <c r="B1008" s="67"/>
      <c r="C1008" s="67"/>
      <c r="D1008" s="67"/>
    </row>
    <row r="1009" spans="2:4" x14ac:dyDescent="0.2">
      <c r="B1009" s="67"/>
      <c r="C1009" s="67"/>
      <c r="D1009" s="67"/>
    </row>
    <row r="1010" spans="2:4" x14ac:dyDescent="0.2">
      <c r="B1010" s="67"/>
      <c r="C1010" s="67"/>
      <c r="D1010" s="67"/>
    </row>
    <row r="1011" spans="2:4" x14ac:dyDescent="0.2">
      <c r="B1011" s="67"/>
      <c r="C1011" s="67"/>
      <c r="D1011" s="67"/>
    </row>
    <row r="1012" spans="2:4" x14ac:dyDescent="0.2">
      <c r="B1012" s="67"/>
      <c r="C1012" s="67"/>
      <c r="D1012" s="67"/>
    </row>
    <row r="1013" spans="2:4" x14ac:dyDescent="0.2">
      <c r="B1013" s="67"/>
      <c r="C1013" s="67"/>
      <c r="D1013" s="67"/>
    </row>
    <row r="1014" spans="2:4" x14ac:dyDescent="0.2">
      <c r="B1014" s="67"/>
      <c r="C1014" s="67"/>
      <c r="D1014" s="67"/>
    </row>
    <row r="1015" spans="2:4" x14ac:dyDescent="0.2">
      <c r="B1015" s="67"/>
      <c r="C1015" s="67"/>
      <c r="D1015" s="67"/>
    </row>
    <row r="1016" spans="2:4" x14ac:dyDescent="0.2">
      <c r="B1016" s="67"/>
      <c r="C1016" s="67"/>
      <c r="D1016" s="67"/>
    </row>
    <row r="1017" spans="2:4" x14ac:dyDescent="0.2">
      <c r="B1017" s="67"/>
      <c r="C1017" s="67"/>
      <c r="D1017" s="67"/>
    </row>
    <row r="1018" spans="2:4" x14ac:dyDescent="0.2">
      <c r="B1018" s="67"/>
      <c r="C1018" s="67"/>
      <c r="D1018" s="67"/>
    </row>
    <row r="1019" spans="2:4" x14ac:dyDescent="0.2">
      <c r="B1019" s="67"/>
      <c r="C1019" s="67"/>
      <c r="D1019" s="67"/>
    </row>
    <row r="1020" spans="2:4" x14ac:dyDescent="0.2">
      <c r="B1020" s="67"/>
      <c r="C1020" s="67"/>
      <c r="D1020" s="67"/>
    </row>
    <row r="1021" spans="2:4" x14ac:dyDescent="0.2">
      <c r="B1021" s="67"/>
      <c r="C1021" s="67"/>
      <c r="D1021" s="67"/>
    </row>
    <row r="1022" spans="2:4" x14ac:dyDescent="0.2">
      <c r="B1022" s="67"/>
      <c r="C1022" s="67"/>
      <c r="D1022" s="67"/>
    </row>
    <row r="1023" spans="2:4" x14ac:dyDescent="0.2">
      <c r="B1023" s="67"/>
      <c r="C1023" s="67"/>
      <c r="D1023" s="67"/>
    </row>
    <row r="1024" spans="2:4" x14ac:dyDescent="0.2">
      <c r="B1024" s="67"/>
      <c r="C1024" s="67"/>
      <c r="D1024" s="67"/>
    </row>
    <row r="1025" spans="2:4" x14ac:dyDescent="0.2">
      <c r="B1025" s="67"/>
      <c r="C1025" s="67"/>
      <c r="D1025" s="67"/>
    </row>
    <row r="1026" spans="2:4" x14ac:dyDescent="0.2">
      <c r="B1026" s="67"/>
      <c r="C1026" s="67"/>
      <c r="D1026" s="67"/>
    </row>
    <row r="1027" spans="2:4" x14ac:dyDescent="0.2">
      <c r="B1027" s="67"/>
      <c r="C1027" s="67"/>
      <c r="D1027" s="67"/>
    </row>
    <row r="1028" spans="2:4" x14ac:dyDescent="0.2">
      <c r="B1028" s="67"/>
      <c r="C1028" s="67"/>
      <c r="D1028" s="67"/>
    </row>
    <row r="1029" spans="2:4" x14ac:dyDescent="0.2">
      <c r="B1029" s="67"/>
      <c r="C1029" s="67"/>
      <c r="D1029" s="67"/>
    </row>
    <row r="1030" spans="2:4" x14ac:dyDescent="0.2">
      <c r="B1030" s="67"/>
      <c r="C1030" s="67"/>
      <c r="D1030" s="67"/>
    </row>
    <row r="1031" spans="2:4" x14ac:dyDescent="0.2">
      <c r="B1031" s="67"/>
      <c r="C1031" s="67"/>
      <c r="D1031" s="67"/>
    </row>
    <row r="1032" spans="2:4" x14ac:dyDescent="0.2">
      <c r="B1032" s="67"/>
      <c r="C1032" s="67"/>
      <c r="D1032" s="67"/>
    </row>
    <row r="1033" spans="2:4" x14ac:dyDescent="0.2">
      <c r="B1033" s="67"/>
      <c r="C1033" s="67"/>
      <c r="D1033" s="67"/>
    </row>
    <row r="1034" spans="2:4" x14ac:dyDescent="0.2">
      <c r="B1034" s="67"/>
      <c r="C1034" s="67"/>
      <c r="D1034" s="67"/>
    </row>
    <row r="1035" spans="2:4" x14ac:dyDescent="0.2">
      <c r="B1035" s="67"/>
      <c r="C1035" s="67"/>
      <c r="D1035" s="67"/>
    </row>
    <row r="1036" spans="2:4" x14ac:dyDescent="0.2">
      <c r="B1036" s="67"/>
      <c r="C1036" s="67"/>
      <c r="D1036" s="67"/>
    </row>
    <row r="1037" spans="2:4" x14ac:dyDescent="0.2">
      <c r="B1037" s="67"/>
      <c r="C1037" s="67"/>
      <c r="D1037" s="67"/>
    </row>
    <row r="1038" spans="2:4" x14ac:dyDescent="0.2">
      <c r="B1038" s="67"/>
      <c r="C1038" s="67"/>
      <c r="D1038" s="67"/>
    </row>
    <row r="1039" spans="2:4" x14ac:dyDescent="0.2">
      <c r="B1039" s="67"/>
      <c r="C1039" s="67"/>
      <c r="D1039" s="67"/>
    </row>
    <row r="1040" spans="2:4" x14ac:dyDescent="0.2">
      <c r="B1040" s="67"/>
      <c r="C1040" s="67"/>
      <c r="D1040" s="67"/>
    </row>
    <row r="1041" spans="2:4" x14ac:dyDescent="0.2">
      <c r="B1041" s="67"/>
      <c r="C1041" s="67"/>
      <c r="D1041" s="67"/>
    </row>
    <row r="1042" spans="2:4" x14ac:dyDescent="0.2">
      <c r="B1042" s="67"/>
      <c r="C1042" s="67"/>
      <c r="D1042" s="67"/>
    </row>
    <row r="1043" spans="2:4" x14ac:dyDescent="0.2">
      <c r="B1043" s="67"/>
      <c r="C1043" s="67"/>
      <c r="D1043" s="67"/>
    </row>
    <row r="1044" spans="2:4" x14ac:dyDescent="0.2">
      <c r="B1044" s="67"/>
      <c r="C1044" s="67"/>
      <c r="D1044" s="67"/>
    </row>
    <row r="1045" spans="2:4" x14ac:dyDescent="0.2">
      <c r="B1045" s="67"/>
      <c r="C1045" s="67"/>
      <c r="D1045" s="67"/>
    </row>
    <row r="1046" spans="2:4" x14ac:dyDescent="0.2">
      <c r="B1046" s="67"/>
      <c r="C1046" s="67"/>
      <c r="D1046" s="67"/>
    </row>
    <row r="1047" spans="2:4" x14ac:dyDescent="0.2">
      <c r="B1047" s="67"/>
      <c r="C1047" s="67"/>
      <c r="D1047" s="67"/>
    </row>
    <row r="1048" spans="2:4" x14ac:dyDescent="0.2">
      <c r="B1048" s="67"/>
      <c r="C1048" s="67"/>
      <c r="D1048" s="67"/>
    </row>
    <row r="1049" spans="2:4" x14ac:dyDescent="0.2">
      <c r="B1049" s="67"/>
      <c r="C1049" s="67"/>
      <c r="D1049" s="67"/>
    </row>
    <row r="1050" spans="2:4" x14ac:dyDescent="0.2">
      <c r="B1050" s="67"/>
      <c r="C1050" s="67"/>
      <c r="D1050" s="67"/>
    </row>
    <row r="1051" spans="2:4" x14ac:dyDescent="0.2">
      <c r="B1051" s="67"/>
      <c r="C1051" s="67"/>
      <c r="D1051" s="67"/>
    </row>
    <row r="1052" spans="2:4" x14ac:dyDescent="0.2">
      <c r="B1052" s="67"/>
      <c r="C1052" s="67"/>
      <c r="D1052" s="67"/>
    </row>
    <row r="1053" spans="2:4" x14ac:dyDescent="0.2">
      <c r="B1053" s="67"/>
      <c r="C1053" s="67"/>
      <c r="D1053" s="67"/>
    </row>
    <row r="1054" spans="2:4" x14ac:dyDescent="0.2">
      <c r="B1054" s="67"/>
      <c r="C1054" s="67"/>
      <c r="D1054" s="67"/>
    </row>
    <row r="1055" spans="2:4" x14ac:dyDescent="0.2">
      <c r="B1055" s="67"/>
      <c r="C1055" s="67"/>
      <c r="D1055" s="67"/>
    </row>
    <row r="1056" spans="2:4" x14ac:dyDescent="0.2">
      <c r="B1056" s="67"/>
      <c r="C1056" s="67"/>
      <c r="D1056" s="67"/>
    </row>
    <row r="1057" spans="2:4" x14ac:dyDescent="0.2">
      <c r="B1057" s="67"/>
      <c r="C1057" s="67"/>
      <c r="D1057" s="67"/>
    </row>
    <row r="1058" spans="2:4" x14ac:dyDescent="0.2">
      <c r="B1058" s="67"/>
      <c r="C1058" s="67"/>
      <c r="D1058" s="67"/>
    </row>
    <row r="1059" spans="2:4" x14ac:dyDescent="0.2">
      <c r="B1059" s="67"/>
      <c r="C1059" s="67"/>
      <c r="D1059" s="67"/>
    </row>
    <row r="1060" spans="2:4" x14ac:dyDescent="0.2">
      <c r="B1060" s="67"/>
      <c r="C1060" s="67"/>
      <c r="D1060" s="67"/>
    </row>
    <row r="1061" spans="2:4" x14ac:dyDescent="0.2">
      <c r="B1061" s="67"/>
      <c r="C1061" s="67"/>
      <c r="D1061" s="67"/>
    </row>
    <row r="1062" spans="2:4" x14ac:dyDescent="0.2">
      <c r="B1062" s="67"/>
      <c r="C1062" s="67"/>
      <c r="D1062" s="67"/>
    </row>
    <row r="1063" spans="2:4" x14ac:dyDescent="0.2">
      <c r="B1063" s="67"/>
      <c r="C1063" s="67"/>
      <c r="D1063" s="67"/>
    </row>
    <row r="1064" spans="2:4" x14ac:dyDescent="0.2">
      <c r="B1064" s="67"/>
      <c r="C1064" s="67"/>
      <c r="D1064" s="67"/>
    </row>
    <row r="1065" spans="2:4" x14ac:dyDescent="0.2">
      <c r="B1065" s="67"/>
      <c r="C1065" s="67"/>
      <c r="D1065" s="67"/>
    </row>
    <row r="1066" spans="2:4" x14ac:dyDescent="0.2">
      <c r="B1066" s="67"/>
      <c r="C1066" s="67"/>
      <c r="D1066" s="67"/>
    </row>
    <row r="1067" spans="2:4" x14ac:dyDescent="0.2">
      <c r="B1067" s="67"/>
      <c r="C1067" s="67"/>
      <c r="D1067" s="67"/>
    </row>
    <row r="1068" spans="2:4" x14ac:dyDescent="0.2">
      <c r="B1068" s="67"/>
      <c r="C1068" s="67"/>
      <c r="D1068" s="67"/>
    </row>
    <row r="1069" spans="2:4" x14ac:dyDescent="0.2">
      <c r="B1069" s="67"/>
      <c r="C1069" s="67"/>
      <c r="D1069" s="67"/>
    </row>
    <row r="1070" spans="2:4" x14ac:dyDescent="0.2">
      <c r="B1070" s="67"/>
      <c r="C1070" s="67"/>
      <c r="D1070" s="67"/>
    </row>
    <row r="1071" spans="2:4" x14ac:dyDescent="0.2">
      <c r="B1071" s="67"/>
      <c r="C1071" s="67"/>
      <c r="D1071" s="67"/>
    </row>
    <row r="1072" spans="2:4" x14ac:dyDescent="0.2">
      <c r="B1072" s="67"/>
      <c r="C1072" s="67"/>
      <c r="D1072" s="67"/>
    </row>
    <row r="1073" spans="2:4" x14ac:dyDescent="0.2">
      <c r="B1073" s="67"/>
      <c r="C1073" s="67"/>
      <c r="D1073" s="67"/>
    </row>
    <row r="1074" spans="2:4" x14ac:dyDescent="0.2">
      <c r="B1074" s="67"/>
      <c r="C1074" s="67"/>
      <c r="D1074" s="67"/>
    </row>
    <row r="1075" spans="2:4" x14ac:dyDescent="0.2">
      <c r="B1075" s="67"/>
      <c r="C1075" s="67"/>
      <c r="D1075" s="67"/>
    </row>
    <row r="1076" spans="2:4" x14ac:dyDescent="0.2">
      <c r="B1076" s="67"/>
      <c r="C1076" s="67"/>
      <c r="D1076" s="67"/>
    </row>
    <row r="1077" spans="2:4" x14ac:dyDescent="0.2">
      <c r="B1077" s="67"/>
      <c r="C1077" s="67"/>
      <c r="D1077" s="67"/>
    </row>
    <row r="1078" spans="2:4" x14ac:dyDescent="0.2">
      <c r="B1078" s="67"/>
      <c r="C1078" s="67"/>
      <c r="D1078" s="67"/>
    </row>
    <row r="1079" spans="2:4" x14ac:dyDescent="0.2">
      <c r="B1079" s="67"/>
      <c r="C1079" s="67"/>
      <c r="D1079" s="67"/>
    </row>
    <row r="1080" spans="2:4" x14ac:dyDescent="0.2">
      <c r="B1080" s="67"/>
      <c r="C1080" s="67"/>
      <c r="D1080" s="67"/>
    </row>
    <row r="1081" spans="2:4" x14ac:dyDescent="0.2">
      <c r="B1081" s="67"/>
      <c r="C1081" s="67"/>
      <c r="D1081" s="67"/>
    </row>
    <row r="1082" spans="2:4" x14ac:dyDescent="0.2">
      <c r="B1082" s="67"/>
      <c r="C1082" s="67"/>
      <c r="D1082" s="67"/>
    </row>
    <row r="1083" spans="2:4" x14ac:dyDescent="0.2">
      <c r="B1083" s="67"/>
      <c r="C1083" s="67"/>
      <c r="D1083" s="67"/>
    </row>
    <row r="1084" spans="2:4" x14ac:dyDescent="0.2">
      <c r="B1084" s="67"/>
      <c r="C1084" s="67"/>
      <c r="D1084" s="67"/>
    </row>
    <row r="1085" spans="2:4" x14ac:dyDescent="0.2">
      <c r="B1085" s="67"/>
      <c r="C1085" s="67"/>
      <c r="D1085" s="67"/>
    </row>
    <row r="1086" spans="2:4" x14ac:dyDescent="0.2">
      <c r="B1086" s="67"/>
      <c r="C1086" s="67"/>
      <c r="D1086" s="67"/>
    </row>
    <row r="1087" spans="2:4" x14ac:dyDescent="0.2">
      <c r="B1087" s="67"/>
      <c r="C1087" s="67"/>
      <c r="D1087" s="67"/>
    </row>
    <row r="1088" spans="2:4" x14ac:dyDescent="0.2">
      <c r="B1088" s="67"/>
      <c r="C1088" s="67"/>
      <c r="D1088" s="67"/>
    </row>
    <row r="1089" spans="2:4" x14ac:dyDescent="0.2">
      <c r="B1089" s="67"/>
      <c r="C1089" s="67"/>
      <c r="D1089" s="67"/>
    </row>
    <row r="1090" spans="2:4" x14ac:dyDescent="0.2">
      <c r="B1090" s="67"/>
      <c r="C1090" s="67"/>
      <c r="D1090" s="67"/>
    </row>
    <row r="1091" spans="2:4" x14ac:dyDescent="0.2">
      <c r="B1091" s="67"/>
      <c r="C1091" s="67"/>
      <c r="D1091" s="67"/>
    </row>
    <row r="1092" spans="2:4" x14ac:dyDescent="0.2">
      <c r="B1092" s="67"/>
      <c r="C1092" s="67"/>
      <c r="D1092" s="67"/>
    </row>
    <row r="1093" spans="2:4" x14ac:dyDescent="0.2">
      <c r="B1093" s="67"/>
      <c r="C1093" s="67"/>
      <c r="D1093" s="67"/>
    </row>
    <row r="1094" spans="2:4" x14ac:dyDescent="0.2">
      <c r="B1094" s="67"/>
      <c r="C1094" s="67"/>
      <c r="D1094" s="67"/>
    </row>
    <row r="1095" spans="2:4" x14ac:dyDescent="0.2">
      <c r="B1095" s="67"/>
      <c r="C1095" s="67"/>
      <c r="D1095" s="67"/>
    </row>
    <row r="1096" spans="2:4" x14ac:dyDescent="0.2">
      <c r="B1096" s="67"/>
      <c r="C1096" s="67"/>
      <c r="D1096" s="67"/>
    </row>
    <row r="1097" spans="2:4" x14ac:dyDescent="0.2">
      <c r="B1097" s="67"/>
      <c r="C1097" s="67"/>
      <c r="D1097" s="67"/>
    </row>
    <row r="1098" spans="2:4" x14ac:dyDescent="0.2">
      <c r="B1098" s="67"/>
      <c r="C1098" s="67"/>
      <c r="D1098" s="67"/>
    </row>
    <row r="1099" spans="2:4" x14ac:dyDescent="0.2">
      <c r="B1099" s="67"/>
      <c r="C1099" s="67"/>
      <c r="D1099" s="67"/>
    </row>
    <row r="1100" spans="2:4" x14ac:dyDescent="0.2">
      <c r="B1100" s="67"/>
      <c r="C1100" s="67"/>
      <c r="D1100" s="67"/>
    </row>
    <row r="1101" spans="2:4" x14ac:dyDescent="0.2">
      <c r="B1101" s="67"/>
      <c r="C1101" s="67"/>
      <c r="D1101" s="67"/>
    </row>
    <row r="1102" spans="2:4" x14ac:dyDescent="0.2">
      <c r="B1102" s="67"/>
      <c r="C1102" s="67"/>
      <c r="D1102" s="67"/>
    </row>
    <row r="1103" spans="2:4" x14ac:dyDescent="0.2">
      <c r="B1103" s="67"/>
      <c r="C1103" s="67"/>
      <c r="D1103" s="67"/>
    </row>
    <row r="1104" spans="2:4" x14ac:dyDescent="0.2">
      <c r="B1104" s="67"/>
      <c r="C1104" s="67"/>
      <c r="D1104" s="67"/>
    </row>
    <row r="1105" spans="2:4" x14ac:dyDescent="0.2">
      <c r="B1105" s="67"/>
      <c r="C1105" s="67"/>
      <c r="D1105" s="67"/>
    </row>
    <row r="1106" spans="2:4" x14ac:dyDescent="0.2">
      <c r="B1106" s="67"/>
      <c r="C1106" s="67"/>
      <c r="D1106" s="67"/>
    </row>
    <row r="1107" spans="2:4" x14ac:dyDescent="0.2">
      <c r="B1107" s="67"/>
      <c r="C1107" s="67"/>
      <c r="D1107" s="67"/>
    </row>
    <row r="1108" spans="2:4" x14ac:dyDescent="0.2">
      <c r="B1108" s="67"/>
      <c r="C1108" s="67"/>
      <c r="D1108" s="67"/>
    </row>
    <row r="1109" spans="2:4" x14ac:dyDescent="0.2">
      <c r="B1109" s="67"/>
      <c r="C1109" s="67"/>
      <c r="D1109" s="67"/>
    </row>
    <row r="1110" spans="2:4" x14ac:dyDescent="0.2">
      <c r="B1110" s="67"/>
      <c r="C1110" s="67"/>
      <c r="D1110" s="67"/>
    </row>
    <row r="1111" spans="2:4" x14ac:dyDescent="0.2">
      <c r="B1111" s="67"/>
      <c r="C1111" s="67"/>
      <c r="D1111" s="67"/>
    </row>
    <row r="1112" spans="2:4" x14ac:dyDescent="0.2">
      <c r="B1112" s="67"/>
      <c r="C1112" s="67"/>
      <c r="D1112" s="67"/>
    </row>
    <row r="1113" spans="2:4" x14ac:dyDescent="0.2">
      <c r="B1113" s="67"/>
      <c r="C1113" s="67"/>
      <c r="D1113" s="67"/>
    </row>
    <row r="1114" spans="2:4" x14ac:dyDescent="0.2">
      <c r="B1114" s="67"/>
      <c r="C1114" s="67"/>
      <c r="D1114" s="67"/>
    </row>
    <row r="1115" spans="2:4" x14ac:dyDescent="0.2">
      <c r="B1115" s="67"/>
      <c r="C1115" s="67"/>
      <c r="D1115" s="67"/>
    </row>
    <row r="1116" spans="2:4" x14ac:dyDescent="0.2">
      <c r="B1116" s="67"/>
      <c r="C1116" s="67"/>
      <c r="D1116" s="67"/>
    </row>
    <row r="1117" spans="2:4" x14ac:dyDescent="0.2">
      <c r="B1117" s="67"/>
      <c r="C1117" s="67"/>
      <c r="D1117" s="67"/>
    </row>
    <row r="1118" spans="2:4" x14ac:dyDescent="0.2">
      <c r="B1118" s="67"/>
      <c r="C1118" s="67"/>
      <c r="D1118" s="67"/>
    </row>
    <row r="1119" spans="2:4" x14ac:dyDescent="0.2">
      <c r="B1119" s="67"/>
      <c r="C1119" s="67"/>
      <c r="D1119" s="67"/>
    </row>
    <row r="1120" spans="2:4" x14ac:dyDescent="0.2">
      <c r="B1120" s="67"/>
      <c r="C1120" s="67"/>
      <c r="D1120" s="67"/>
    </row>
    <row r="1121" spans="2:4" x14ac:dyDescent="0.2">
      <c r="B1121" s="67"/>
      <c r="C1121" s="67"/>
      <c r="D1121" s="67"/>
    </row>
    <row r="1122" spans="2:4" x14ac:dyDescent="0.2">
      <c r="B1122" s="67"/>
      <c r="C1122" s="67"/>
      <c r="D1122" s="67"/>
    </row>
    <row r="1123" spans="2:4" x14ac:dyDescent="0.2">
      <c r="B1123" s="67"/>
      <c r="C1123" s="67"/>
      <c r="D1123" s="67"/>
    </row>
    <row r="1124" spans="2:4" x14ac:dyDescent="0.2">
      <c r="B1124" s="67"/>
      <c r="C1124" s="67"/>
      <c r="D1124" s="67"/>
    </row>
    <row r="1125" spans="2:4" x14ac:dyDescent="0.2">
      <c r="B1125" s="67"/>
      <c r="C1125" s="67"/>
      <c r="D1125" s="67"/>
    </row>
    <row r="1126" spans="2:4" x14ac:dyDescent="0.2">
      <c r="B1126" s="67"/>
      <c r="C1126" s="67"/>
      <c r="D1126" s="67"/>
    </row>
    <row r="1127" spans="2:4" x14ac:dyDescent="0.2">
      <c r="B1127" s="67"/>
      <c r="C1127" s="67"/>
      <c r="D1127" s="67"/>
    </row>
    <row r="1128" spans="2:4" x14ac:dyDescent="0.2">
      <c r="B1128" s="67"/>
      <c r="C1128" s="67"/>
      <c r="D1128" s="67"/>
    </row>
    <row r="1129" spans="2:4" x14ac:dyDescent="0.2">
      <c r="B1129" s="67"/>
      <c r="C1129" s="67"/>
      <c r="D1129" s="67"/>
    </row>
    <row r="1130" spans="2:4" x14ac:dyDescent="0.2">
      <c r="B1130" s="67"/>
      <c r="C1130" s="67"/>
      <c r="D1130" s="67"/>
    </row>
    <row r="1131" spans="2:4" x14ac:dyDescent="0.2">
      <c r="B1131" s="67"/>
      <c r="C1131" s="67"/>
      <c r="D1131" s="67"/>
    </row>
    <row r="1132" spans="2:4" x14ac:dyDescent="0.2">
      <c r="B1132" s="67"/>
      <c r="C1132" s="67"/>
      <c r="D1132" s="67"/>
    </row>
    <row r="1133" spans="2:4" x14ac:dyDescent="0.2">
      <c r="B1133" s="67"/>
      <c r="C1133" s="67"/>
      <c r="D1133" s="67"/>
    </row>
    <row r="1134" spans="2:4" x14ac:dyDescent="0.2">
      <c r="B1134" s="67"/>
      <c r="C1134" s="67"/>
      <c r="D1134" s="67"/>
    </row>
    <row r="1135" spans="2:4" x14ac:dyDescent="0.2">
      <c r="B1135" s="67"/>
      <c r="C1135" s="67"/>
      <c r="D1135" s="67"/>
    </row>
    <row r="1136" spans="2:4" x14ac:dyDescent="0.2">
      <c r="B1136" s="67"/>
      <c r="C1136" s="67"/>
      <c r="D1136" s="67"/>
    </row>
    <row r="1137" spans="2:4" x14ac:dyDescent="0.2">
      <c r="B1137" s="67"/>
      <c r="C1137" s="67"/>
      <c r="D1137" s="67"/>
    </row>
    <row r="1138" spans="2:4" x14ac:dyDescent="0.2">
      <c r="B1138" s="67"/>
      <c r="C1138" s="67"/>
      <c r="D1138" s="67"/>
    </row>
    <row r="1139" spans="2:4" x14ac:dyDescent="0.2">
      <c r="B1139" s="67"/>
      <c r="C1139" s="67"/>
      <c r="D1139" s="67"/>
    </row>
    <row r="1140" spans="2:4" x14ac:dyDescent="0.2">
      <c r="B1140" s="67"/>
      <c r="C1140" s="67"/>
      <c r="D1140" s="67"/>
    </row>
    <row r="1141" spans="2:4" x14ac:dyDescent="0.2">
      <c r="B1141" s="67"/>
      <c r="C1141" s="67"/>
      <c r="D1141" s="67"/>
    </row>
    <row r="1142" spans="2:4" x14ac:dyDescent="0.2">
      <c r="B1142" s="67"/>
      <c r="C1142" s="67"/>
      <c r="D1142" s="67"/>
    </row>
    <row r="1143" spans="2:4" x14ac:dyDescent="0.2">
      <c r="B1143" s="67"/>
      <c r="C1143" s="67"/>
      <c r="D1143" s="67"/>
    </row>
    <row r="1144" spans="2:4" x14ac:dyDescent="0.2">
      <c r="B1144" s="67"/>
      <c r="C1144" s="67"/>
      <c r="D1144" s="67"/>
    </row>
    <row r="1145" spans="2:4" x14ac:dyDescent="0.2">
      <c r="B1145" s="67"/>
      <c r="C1145" s="67"/>
      <c r="D1145" s="67"/>
    </row>
    <row r="1146" spans="2:4" x14ac:dyDescent="0.2">
      <c r="B1146" s="67"/>
      <c r="C1146" s="67"/>
      <c r="D1146" s="67"/>
    </row>
    <row r="1147" spans="2:4" x14ac:dyDescent="0.2">
      <c r="B1147" s="67"/>
      <c r="C1147" s="67"/>
      <c r="D1147" s="67"/>
    </row>
    <row r="1148" spans="2:4" x14ac:dyDescent="0.2">
      <c r="B1148" s="67"/>
      <c r="C1148" s="67"/>
      <c r="D1148" s="67"/>
    </row>
    <row r="1149" spans="2:4" x14ac:dyDescent="0.2">
      <c r="B1149" s="67"/>
      <c r="C1149" s="67"/>
      <c r="D1149" s="67"/>
    </row>
    <row r="1150" spans="2:4" x14ac:dyDescent="0.2">
      <c r="B1150" s="67"/>
      <c r="C1150" s="67"/>
      <c r="D1150" s="67"/>
    </row>
    <row r="1151" spans="2:4" x14ac:dyDescent="0.2">
      <c r="B1151" s="67"/>
      <c r="C1151" s="67"/>
      <c r="D1151" s="67"/>
    </row>
    <row r="1152" spans="2:4" x14ac:dyDescent="0.2">
      <c r="B1152" s="67"/>
      <c r="C1152" s="67"/>
      <c r="D1152" s="67"/>
    </row>
    <row r="1153" spans="2:4" x14ac:dyDescent="0.2">
      <c r="B1153" s="67"/>
      <c r="C1153" s="67"/>
      <c r="D1153" s="67"/>
    </row>
    <row r="1154" spans="2:4" x14ac:dyDescent="0.2">
      <c r="B1154" s="67"/>
      <c r="C1154" s="67"/>
      <c r="D1154" s="67"/>
    </row>
    <row r="1155" spans="2:4" x14ac:dyDescent="0.2">
      <c r="B1155" s="67"/>
      <c r="C1155" s="67"/>
      <c r="D1155" s="67"/>
    </row>
    <row r="1156" spans="2:4" x14ac:dyDescent="0.2">
      <c r="B1156" s="67"/>
      <c r="C1156" s="67"/>
      <c r="D1156" s="67"/>
    </row>
    <row r="1157" spans="2:4" x14ac:dyDescent="0.2">
      <c r="B1157" s="67"/>
      <c r="C1157" s="67"/>
      <c r="D1157" s="67"/>
    </row>
    <row r="1158" spans="2:4" x14ac:dyDescent="0.2">
      <c r="B1158" s="67"/>
      <c r="C1158" s="67"/>
      <c r="D1158" s="67"/>
    </row>
    <row r="1159" spans="2:4" x14ac:dyDescent="0.2">
      <c r="B1159" s="67"/>
      <c r="C1159" s="67"/>
      <c r="D1159" s="67"/>
    </row>
    <row r="1160" spans="2:4" x14ac:dyDescent="0.2">
      <c r="B1160" s="67"/>
      <c r="C1160" s="67"/>
      <c r="D1160" s="67"/>
    </row>
    <row r="1161" spans="2:4" x14ac:dyDescent="0.2">
      <c r="B1161" s="67"/>
      <c r="C1161" s="67"/>
      <c r="D1161" s="67"/>
    </row>
    <row r="1162" spans="2:4" x14ac:dyDescent="0.2">
      <c r="B1162" s="67"/>
      <c r="C1162" s="67"/>
      <c r="D1162" s="67"/>
    </row>
    <row r="1163" spans="2:4" x14ac:dyDescent="0.2">
      <c r="B1163" s="67"/>
      <c r="C1163" s="67"/>
      <c r="D1163" s="67"/>
    </row>
    <row r="1164" spans="2:4" x14ac:dyDescent="0.2">
      <c r="B1164" s="67"/>
      <c r="C1164" s="67"/>
      <c r="D1164" s="67"/>
    </row>
    <row r="1165" spans="2:4" x14ac:dyDescent="0.2">
      <c r="B1165" s="67"/>
      <c r="C1165" s="67"/>
      <c r="D1165" s="67"/>
    </row>
    <row r="1166" spans="2:4" x14ac:dyDescent="0.2">
      <c r="B1166" s="67"/>
      <c r="C1166" s="67"/>
      <c r="D1166" s="67"/>
    </row>
    <row r="1167" spans="2:4" x14ac:dyDescent="0.2">
      <c r="B1167" s="67"/>
      <c r="C1167" s="67"/>
      <c r="D1167" s="67"/>
    </row>
    <row r="1168" spans="2:4" x14ac:dyDescent="0.2">
      <c r="B1168" s="67"/>
      <c r="C1168" s="67"/>
      <c r="D1168" s="67"/>
    </row>
    <row r="1169" spans="2:4" x14ac:dyDescent="0.2">
      <c r="B1169" s="67"/>
      <c r="C1169" s="67"/>
      <c r="D1169" s="67"/>
    </row>
    <row r="1170" spans="2:4" x14ac:dyDescent="0.2">
      <c r="B1170" s="67"/>
      <c r="C1170" s="67"/>
      <c r="D1170" s="67"/>
    </row>
    <row r="1171" spans="2:4" x14ac:dyDescent="0.2">
      <c r="B1171" s="67"/>
      <c r="C1171" s="67"/>
      <c r="D1171" s="67"/>
    </row>
    <row r="1172" spans="2:4" x14ac:dyDescent="0.2">
      <c r="B1172" s="67"/>
      <c r="C1172" s="67"/>
      <c r="D1172" s="67"/>
    </row>
    <row r="1173" spans="2:4" x14ac:dyDescent="0.2">
      <c r="B1173" s="67"/>
      <c r="C1173" s="67"/>
      <c r="D1173" s="67"/>
    </row>
    <row r="1174" spans="2:4" x14ac:dyDescent="0.2">
      <c r="B1174" s="67"/>
      <c r="C1174" s="67"/>
      <c r="D1174" s="67"/>
    </row>
    <row r="1175" spans="2:4" x14ac:dyDescent="0.2">
      <c r="B1175" s="67"/>
      <c r="C1175" s="67"/>
      <c r="D1175" s="67"/>
    </row>
    <row r="1176" spans="2:4" x14ac:dyDescent="0.2">
      <c r="B1176" s="67"/>
      <c r="C1176" s="67"/>
      <c r="D1176" s="67"/>
    </row>
    <row r="1177" spans="2:4" x14ac:dyDescent="0.2">
      <c r="B1177" s="67"/>
      <c r="C1177" s="67"/>
      <c r="D1177" s="67"/>
    </row>
    <row r="1178" spans="2:4" x14ac:dyDescent="0.2">
      <c r="B1178" s="67"/>
      <c r="C1178" s="67"/>
      <c r="D1178" s="67"/>
    </row>
    <row r="1179" spans="2:4" x14ac:dyDescent="0.2">
      <c r="B1179" s="67"/>
      <c r="C1179" s="67"/>
      <c r="D1179" s="67"/>
    </row>
    <row r="1180" spans="2:4" x14ac:dyDescent="0.2">
      <c r="B1180" s="67"/>
      <c r="C1180" s="67"/>
      <c r="D1180" s="67"/>
    </row>
    <row r="1181" spans="2:4" x14ac:dyDescent="0.2">
      <c r="B1181" s="67"/>
      <c r="C1181" s="67"/>
      <c r="D1181" s="67"/>
    </row>
    <row r="1182" spans="2:4" x14ac:dyDescent="0.2">
      <c r="B1182" s="67"/>
      <c r="C1182" s="67"/>
      <c r="D1182" s="67"/>
    </row>
    <row r="1183" spans="2:4" x14ac:dyDescent="0.2">
      <c r="B1183" s="67"/>
      <c r="C1183" s="67"/>
      <c r="D1183" s="67"/>
    </row>
    <row r="1184" spans="2:4" x14ac:dyDescent="0.2">
      <c r="B1184" s="67"/>
      <c r="C1184" s="67"/>
      <c r="D1184" s="67"/>
    </row>
    <row r="1185" spans="2:4" x14ac:dyDescent="0.2">
      <c r="B1185" s="67"/>
      <c r="C1185" s="67"/>
      <c r="D1185" s="67"/>
    </row>
    <row r="1186" spans="2:4" x14ac:dyDescent="0.2">
      <c r="B1186" s="67"/>
      <c r="C1186" s="67"/>
      <c r="D1186" s="67"/>
    </row>
    <row r="1187" spans="2:4" x14ac:dyDescent="0.2">
      <c r="B1187" s="67"/>
      <c r="C1187" s="67"/>
      <c r="D1187" s="67"/>
    </row>
    <row r="1188" spans="2:4" x14ac:dyDescent="0.2">
      <c r="B1188" s="67"/>
      <c r="C1188" s="67"/>
      <c r="D1188" s="67"/>
    </row>
    <row r="1189" spans="2:4" x14ac:dyDescent="0.2">
      <c r="B1189" s="67"/>
      <c r="C1189" s="67"/>
      <c r="D1189" s="67"/>
    </row>
    <row r="1190" spans="2:4" x14ac:dyDescent="0.2">
      <c r="B1190" s="67"/>
      <c r="C1190" s="67"/>
      <c r="D1190" s="67"/>
    </row>
    <row r="1191" spans="2:4" x14ac:dyDescent="0.2">
      <c r="B1191" s="67"/>
      <c r="C1191" s="67"/>
      <c r="D1191" s="67"/>
    </row>
    <row r="1192" spans="2:4" x14ac:dyDescent="0.2">
      <c r="B1192" s="67"/>
      <c r="C1192" s="67"/>
      <c r="D1192" s="67"/>
    </row>
    <row r="1193" spans="2:4" x14ac:dyDescent="0.2">
      <c r="B1193" s="67"/>
      <c r="C1193" s="67"/>
      <c r="D1193" s="67"/>
    </row>
    <row r="1194" spans="2:4" x14ac:dyDescent="0.2">
      <c r="B1194" s="67"/>
      <c r="C1194" s="67"/>
      <c r="D1194" s="67"/>
    </row>
    <row r="1195" spans="2:4" x14ac:dyDescent="0.2">
      <c r="B1195" s="67"/>
      <c r="C1195" s="67"/>
      <c r="D1195" s="67"/>
    </row>
    <row r="1196" spans="2:4" x14ac:dyDescent="0.2">
      <c r="B1196" s="67"/>
      <c r="C1196" s="67"/>
      <c r="D1196" s="67"/>
    </row>
    <row r="1197" spans="2:4" x14ac:dyDescent="0.2">
      <c r="B1197" s="67"/>
      <c r="C1197" s="67"/>
      <c r="D1197" s="67"/>
    </row>
    <row r="1198" spans="2:4" x14ac:dyDescent="0.2">
      <c r="B1198" s="67"/>
      <c r="C1198" s="67"/>
      <c r="D1198" s="67"/>
    </row>
    <row r="1199" spans="2:4" x14ac:dyDescent="0.2">
      <c r="B1199" s="67"/>
      <c r="C1199" s="67"/>
      <c r="D1199" s="67"/>
    </row>
    <row r="1200" spans="2:4" x14ac:dyDescent="0.2">
      <c r="B1200" s="67"/>
      <c r="C1200" s="67"/>
      <c r="D1200" s="67"/>
    </row>
    <row r="1201" spans="2:4" x14ac:dyDescent="0.2">
      <c r="B1201" s="67"/>
      <c r="C1201" s="67"/>
      <c r="D1201" s="67"/>
    </row>
    <row r="1202" spans="2:4" x14ac:dyDescent="0.2">
      <c r="B1202" s="67"/>
      <c r="C1202" s="67"/>
      <c r="D1202" s="67"/>
    </row>
    <row r="1203" spans="2:4" x14ac:dyDescent="0.2">
      <c r="B1203" s="67"/>
      <c r="C1203" s="67"/>
      <c r="D1203" s="67"/>
    </row>
    <row r="1204" spans="2:4" x14ac:dyDescent="0.2">
      <c r="B1204" s="67"/>
      <c r="C1204" s="67"/>
      <c r="D1204" s="67"/>
    </row>
    <row r="1205" spans="2:4" x14ac:dyDescent="0.2">
      <c r="B1205" s="67"/>
      <c r="C1205" s="67"/>
      <c r="D1205" s="67"/>
    </row>
    <row r="1206" spans="2:4" x14ac:dyDescent="0.2">
      <c r="B1206" s="67"/>
      <c r="C1206" s="67"/>
      <c r="D1206" s="67"/>
    </row>
    <row r="1207" spans="2:4" x14ac:dyDescent="0.2">
      <c r="B1207" s="67"/>
      <c r="C1207" s="67"/>
      <c r="D1207" s="67"/>
    </row>
    <row r="1208" spans="2:4" x14ac:dyDescent="0.2">
      <c r="B1208" s="67"/>
      <c r="C1208" s="67"/>
      <c r="D1208" s="67"/>
    </row>
    <row r="1209" spans="2:4" x14ac:dyDescent="0.2">
      <c r="B1209" s="67"/>
      <c r="C1209" s="67"/>
      <c r="D1209" s="67"/>
    </row>
    <row r="1210" spans="2:4" x14ac:dyDescent="0.2">
      <c r="B1210" s="67"/>
      <c r="C1210" s="67"/>
      <c r="D1210" s="67"/>
    </row>
    <row r="1211" spans="2:4" x14ac:dyDescent="0.2">
      <c r="B1211" s="67"/>
      <c r="C1211" s="67"/>
      <c r="D1211" s="67"/>
    </row>
    <row r="1212" spans="2:4" x14ac:dyDescent="0.2">
      <c r="B1212" s="67"/>
      <c r="C1212" s="67"/>
      <c r="D1212" s="67"/>
    </row>
    <row r="1213" spans="2:4" x14ac:dyDescent="0.2">
      <c r="B1213" s="67"/>
      <c r="C1213" s="67"/>
      <c r="D1213" s="67"/>
    </row>
    <row r="1214" spans="2:4" x14ac:dyDescent="0.2">
      <c r="B1214" s="67"/>
      <c r="C1214" s="67"/>
      <c r="D1214" s="67"/>
    </row>
    <row r="1215" spans="2:4" x14ac:dyDescent="0.2">
      <c r="B1215" s="67"/>
      <c r="C1215" s="67"/>
      <c r="D1215" s="67"/>
    </row>
    <row r="1216" spans="2:4" x14ac:dyDescent="0.2">
      <c r="B1216" s="67"/>
      <c r="C1216" s="67"/>
      <c r="D1216" s="67"/>
    </row>
    <row r="1217" spans="2:4" x14ac:dyDescent="0.2">
      <c r="B1217" s="67"/>
      <c r="C1217" s="67"/>
      <c r="D1217" s="67"/>
    </row>
    <row r="1218" spans="2:4" x14ac:dyDescent="0.2">
      <c r="B1218" s="67"/>
      <c r="C1218" s="67"/>
      <c r="D1218" s="67"/>
    </row>
    <row r="1219" spans="2:4" x14ac:dyDescent="0.2">
      <c r="B1219" s="67"/>
      <c r="C1219" s="67"/>
      <c r="D1219" s="67"/>
    </row>
    <row r="1220" spans="2:4" x14ac:dyDescent="0.2">
      <c r="B1220" s="67"/>
      <c r="C1220" s="67"/>
      <c r="D1220" s="67"/>
    </row>
    <row r="1221" spans="2:4" x14ac:dyDescent="0.2">
      <c r="B1221" s="67"/>
      <c r="C1221" s="67"/>
      <c r="D1221" s="67"/>
    </row>
    <row r="1222" spans="2:4" x14ac:dyDescent="0.2">
      <c r="B1222" s="67"/>
      <c r="C1222" s="67"/>
      <c r="D1222" s="67"/>
    </row>
    <row r="1223" spans="2:4" x14ac:dyDescent="0.2">
      <c r="B1223" s="67"/>
      <c r="C1223" s="67"/>
      <c r="D1223" s="67"/>
    </row>
    <row r="1224" spans="2:4" x14ac:dyDescent="0.2">
      <c r="B1224" s="67"/>
      <c r="C1224" s="67"/>
      <c r="D1224" s="67"/>
    </row>
    <row r="1225" spans="2:4" x14ac:dyDescent="0.2">
      <c r="B1225" s="67"/>
      <c r="C1225" s="67"/>
      <c r="D1225" s="67"/>
    </row>
    <row r="1226" spans="2:4" x14ac:dyDescent="0.2">
      <c r="B1226" s="67"/>
      <c r="C1226" s="67"/>
      <c r="D1226" s="67"/>
    </row>
    <row r="1227" spans="2:4" x14ac:dyDescent="0.2">
      <c r="B1227" s="67"/>
      <c r="C1227" s="67"/>
      <c r="D1227" s="67"/>
    </row>
    <row r="1228" spans="2:4" x14ac:dyDescent="0.2">
      <c r="B1228" s="67"/>
      <c r="C1228" s="67"/>
      <c r="D1228" s="67"/>
    </row>
    <row r="1229" spans="2:4" x14ac:dyDescent="0.2">
      <c r="B1229" s="67"/>
      <c r="C1229" s="67"/>
      <c r="D1229" s="67"/>
    </row>
    <row r="1230" spans="2:4" x14ac:dyDescent="0.2">
      <c r="B1230" s="67"/>
      <c r="C1230" s="67"/>
      <c r="D1230" s="67"/>
    </row>
    <row r="1231" spans="2:4" x14ac:dyDescent="0.2">
      <c r="B1231" s="67"/>
      <c r="C1231" s="67"/>
      <c r="D1231" s="67"/>
    </row>
    <row r="1232" spans="2:4" x14ac:dyDescent="0.2">
      <c r="B1232" s="67"/>
      <c r="C1232" s="67"/>
      <c r="D1232" s="67"/>
    </row>
    <row r="1233" spans="2:4" x14ac:dyDescent="0.2">
      <c r="B1233" s="67"/>
      <c r="C1233" s="67"/>
      <c r="D1233" s="67"/>
    </row>
    <row r="1234" spans="2:4" x14ac:dyDescent="0.2">
      <c r="B1234" s="67"/>
      <c r="C1234" s="67"/>
      <c r="D1234" s="67"/>
    </row>
    <row r="1235" spans="2:4" x14ac:dyDescent="0.2">
      <c r="B1235" s="67"/>
      <c r="C1235" s="67"/>
      <c r="D1235" s="67"/>
    </row>
    <row r="1236" spans="2:4" x14ac:dyDescent="0.2">
      <c r="B1236" s="67"/>
      <c r="C1236" s="67"/>
      <c r="D1236" s="67"/>
    </row>
    <row r="1237" spans="2:4" x14ac:dyDescent="0.2">
      <c r="B1237" s="67"/>
      <c r="C1237" s="67"/>
      <c r="D1237" s="67"/>
    </row>
    <row r="1238" spans="2:4" x14ac:dyDescent="0.2">
      <c r="B1238" s="67"/>
      <c r="C1238" s="67"/>
      <c r="D1238" s="67"/>
    </row>
    <row r="1239" spans="2:4" x14ac:dyDescent="0.2">
      <c r="B1239" s="67"/>
      <c r="C1239" s="67"/>
      <c r="D1239" s="67"/>
    </row>
    <row r="1240" spans="2:4" x14ac:dyDescent="0.2">
      <c r="B1240" s="67"/>
      <c r="C1240" s="67"/>
      <c r="D1240" s="67"/>
    </row>
    <row r="1241" spans="2:4" x14ac:dyDescent="0.2">
      <c r="B1241" s="67"/>
      <c r="C1241" s="67"/>
      <c r="D1241" s="67"/>
    </row>
    <row r="1242" spans="2:4" x14ac:dyDescent="0.2">
      <c r="B1242" s="67"/>
      <c r="C1242" s="67"/>
      <c r="D1242" s="67"/>
    </row>
    <row r="1243" spans="2:4" x14ac:dyDescent="0.2">
      <c r="B1243" s="67"/>
      <c r="C1243" s="67"/>
      <c r="D1243" s="67"/>
    </row>
    <row r="1244" spans="2:4" x14ac:dyDescent="0.2">
      <c r="B1244" s="67"/>
      <c r="C1244" s="67"/>
      <c r="D1244" s="67"/>
    </row>
    <row r="1245" spans="2:4" x14ac:dyDescent="0.2">
      <c r="B1245" s="67"/>
      <c r="C1245" s="67"/>
      <c r="D1245" s="67"/>
    </row>
    <row r="1246" spans="2:4" x14ac:dyDescent="0.2">
      <c r="B1246" s="67"/>
      <c r="C1246" s="67"/>
      <c r="D1246" s="67"/>
    </row>
    <row r="1247" spans="2:4" x14ac:dyDescent="0.2">
      <c r="B1247" s="67"/>
      <c r="C1247" s="67"/>
      <c r="D1247" s="67"/>
    </row>
    <row r="1248" spans="2:4" x14ac:dyDescent="0.2">
      <c r="B1248" s="67"/>
      <c r="C1248" s="67"/>
      <c r="D1248" s="67"/>
    </row>
    <row r="1249" spans="2:4" x14ac:dyDescent="0.2">
      <c r="B1249" s="67"/>
      <c r="C1249" s="67"/>
      <c r="D1249" s="67"/>
    </row>
    <row r="1250" spans="2:4" x14ac:dyDescent="0.2">
      <c r="B1250" s="67"/>
      <c r="C1250" s="67"/>
      <c r="D1250" s="67"/>
    </row>
    <row r="1251" spans="2:4" x14ac:dyDescent="0.2">
      <c r="B1251" s="67"/>
      <c r="C1251" s="67"/>
      <c r="D1251" s="67"/>
    </row>
    <row r="1252" spans="2:4" x14ac:dyDescent="0.2">
      <c r="B1252" s="67"/>
      <c r="C1252" s="67"/>
      <c r="D1252" s="67"/>
    </row>
    <row r="1253" spans="2:4" x14ac:dyDescent="0.2">
      <c r="B1253" s="67"/>
      <c r="C1253" s="67"/>
      <c r="D1253" s="67"/>
    </row>
    <row r="1254" spans="2:4" x14ac:dyDescent="0.2">
      <c r="B1254" s="67"/>
      <c r="C1254" s="67"/>
      <c r="D1254" s="67"/>
    </row>
    <row r="1255" spans="2:4" x14ac:dyDescent="0.2">
      <c r="B1255" s="67"/>
      <c r="C1255" s="67"/>
      <c r="D1255" s="67"/>
    </row>
    <row r="1256" spans="2:4" x14ac:dyDescent="0.2">
      <c r="B1256" s="67"/>
      <c r="C1256" s="67"/>
      <c r="D1256" s="67"/>
    </row>
    <row r="1257" spans="2:4" x14ac:dyDescent="0.2">
      <c r="B1257" s="67"/>
      <c r="C1257" s="67"/>
      <c r="D1257" s="67"/>
    </row>
    <row r="1258" spans="2:4" x14ac:dyDescent="0.2">
      <c r="B1258" s="67"/>
      <c r="C1258" s="67"/>
      <c r="D1258" s="67"/>
    </row>
    <row r="1259" spans="2:4" x14ac:dyDescent="0.2">
      <c r="B1259" s="67"/>
      <c r="C1259" s="67"/>
      <c r="D1259" s="67"/>
    </row>
    <row r="1260" spans="2:4" x14ac:dyDescent="0.2">
      <c r="B1260" s="67"/>
      <c r="C1260" s="67"/>
      <c r="D1260" s="67"/>
    </row>
    <row r="1261" spans="2:4" x14ac:dyDescent="0.2">
      <c r="B1261" s="67"/>
      <c r="C1261" s="67"/>
      <c r="D1261" s="67"/>
    </row>
    <row r="1262" spans="2:4" x14ac:dyDescent="0.2">
      <c r="B1262" s="67"/>
      <c r="C1262" s="67"/>
      <c r="D1262" s="67"/>
    </row>
    <row r="1263" spans="2:4" x14ac:dyDescent="0.2">
      <c r="B1263" s="67"/>
      <c r="C1263" s="67"/>
      <c r="D1263" s="67"/>
    </row>
    <row r="1264" spans="2:4" x14ac:dyDescent="0.2">
      <c r="B1264" s="67"/>
      <c r="C1264" s="67"/>
      <c r="D1264" s="67"/>
    </row>
    <row r="1265" spans="2:4" x14ac:dyDescent="0.2">
      <c r="B1265" s="67"/>
      <c r="C1265" s="67"/>
      <c r="D1265" s="67"/>
    </row>
    <row r="1266" spans="2:4" x14ac:dyDescent="0.2">
      <c r="B1266" s="67"/>
      <c r="C1266" s="67"/>
      <c r="D1266" s="67"/>
    </row>
    <row r="1267" spans="2:4" x14ac:dyDescent="0.2">
      <c r="B1267" s="67"/>
      <c r="C1267" s="67"/>
      <c r="D1267" s="67"/>
    </row>
    <row r="1268" spans="2:4" x14ac:dyDescent="0.2">
      <c r="B1268" s="67"/>
      <c r="C1268" s="67"/>
      <c r="D1268" s="67"/>
    </row>
    <row r="1269" spans="2:4" x14ac:dyDescent="0.2">
      <c r="B1269" s="67"/>
      <c r="C1269" s="67"/>
      <c r="D1269" s="67"/>
    </row>
    <row r="1270" spans="2:4" x14ac:dyDescent="0.2">
      <c r="B1270" s="67"/>
      <c r="C1270" s="67"/>
      <c r="D1270" s="67"/>
    </row>
    <row r="1271" spans="2:4" x14ac:dyDescent="0.2">
      <c r="B1271" s="67"/>
      <c r="C1271" s="67"/>
      <c r="D1271" s="67"/>
    </row>
    <row r="1272" spans="2:4" x14ac:dyDescent="0.2">
      <c r="B1272" s="67"/>
      <c r="C1272" s="67"/>
      <c r="D1272" s="67"/>
    </row>
    <row r="1273" spans="2:4" x14ac:dyDescent="0.2">
      <c r="B1273" s="67"/>
      <c r="C1273" s="67"/>
      <c r="D1273" s="67"/>
    </row>
    <row r="1274" spans="2:4" x14ac:dyDescent="0.2">
      <c r="B1274" s="67"/>
      <c r="C1274" s="67"/>
      <c r="D1274" s="67"/>
    </row>
    <row r="1275" spans="2:4" x14ac:dyDescent="0.2">
      <c r="B1275" s="67"/>
      <c r="C1275" s="67"/>
      <c r="D1275" s="67"/>
    </row>
    <row r="1276" spans="2:4" x14ac:dyDescent="0.2">
      <c r="B1276" s="67"/>
      <c r="C1276" s="67"/>
      <c r="D1276" s="67"/>
    </row>
    <row r="1277" spans="2:4" x14ac:dyDescent="0.2">
      <c r="B1277" s="67"/>
      <c r="C1277" s="67"/>
      <c r="D1277" s="67"/>
    </row>
    <row r="1278" spans="2:4" x14ac:dyDescent="0.2">
      <c r="B1278" s="67"/>
      <c r="C1278" s="67"/>
      <c r="D1278" s="67"/>
    </row>
    <row r="1279" spans="2:4" x14ac:dyDescent="0.2">
      <c r="B1279" s="67"/>
      <c r="C1279" s="67"/>
      <c r="D1279" s="67"/>
    </row>
    <row r="1280" spans="2:4" x14ac:dyDescent="0.2">
      <c r="B1280" s="67"/>
      <c r="C1280" s="67"/>
      <c r="D1280" s="67"/>
    </row>
    <row r="1281" spans="2:4" x14ac:dyDescent="0.2">
      <c r="B1281" s="67"/>
      <c r="C1281" s="67"/>
      <c r="D1281" s="67"/>
    </row>
    <row r="1282" spans="2:4" x14ac:dyDescent="0.2">
      <c r="B1282" s="67"/>
      <c r="C1282" s="67"/>
      <c r="D1282" s="67"/>
    </row>
    <row r="1283" spans="2:4" x14ac:dyDescent="0.2">
      <c r="B1283" s="67"/>
      <c r="C1283" s="67"/>
      <c r="D1283" s="67"/>
    </row>
    <row r="1284" spans="2:4" x14ac:dyDescent="0.2">
      <c r="B1284" s="67"/>
      <c r="C1284" s="67"/>
      <c r="D1284" s="67"/>
    </row>
    <row r="1285" spans="2:4" x14ac:dyDescent="0.2">
      <c r="B1285" s="67"/>
      <c r="C1285" s="67"/>
      <c r="D1285" s="67"/>
    </row>
    <row r="1286" spans="2:4" x14ac:dyDescent="0.2">
      <c r="B1286" s="67"/>
      <c r="C1286" s="67"/>
      <c r="D1286" s="67"/>
    </row>
    <row r="1287" spans="2:4" x14ac:dyDescent="0.2">
      <c r="B1287" s="67"/>
      <c r="C1287" s="67"/>
      <c r="D1287" s="67"/>
    </row>
    <row r="1288" spans="2:4" x14ac:dyDescent="0.2">
      <c r="B1288" s="67"/>
      <c r="C1288" s="67"/>
      <c r="D1288" s="67"/>
    </row>
    <row r="1289" spans="2:4" x14ac:dyDescent="0.2">
      <c r="B1289" s="67"/>
      <c r="C1289" s="67"/>
      <c r="D1289" s="67"/>
    </row>
    <row r="1290" spans="2:4" x14ac:dyDescent="0.2">
      <c r="B1290" s="67"/>
      <c r="C1290" s="67"/>
      <c r="D1290" s="67"/>
    </row>
    <row r="1291" spans="2:4" x14ac:dyDescent="0.2">
      <c r="B1291" s="67"/>
      <c r="C1291" s="67"/>
      <c r="D1291" s="67"/>
    </row>
    <row r="1292" spans="2:4" x14ac:dyDescent="0.2">
      <c r="B1292" s="67"/>
      <c r="C1292" s="67"/>
      <c r="D1292" s="67"/>
    </row>
    <row r="1293" spans="2:4" x14ac:dyDescent="0.2">
      <c r="B1293" s="67"/>
      <c r="C1293" s="67"/>
      <c r="D1293" s="67"/>
    </row>
    <row r="1294" spans="2:4" x14ac:dyDescent="0.2">
      <c r="B1294" s="67"/>
      <c r="C1294" s="67"/>
      <c r="D1294" s="67"/>
    </row>
    <row r="1295" spans="2:4" x14ac:dyDescent="0.2">
      <c r="B1295" s="67"/>
      <c r="C1295" s="67"/>
      <c r="D1295" s="67"/>
    </row>
    <row r="1296" spans="2:4" x14ac:dyDescent="0.2">
      <c r="B1296" s="67"/>
      <c r="C1296" s="67"/>
      <c r="D1296" s="67"/>
    </row>
    <row r="1297" spans="2:4" x14ac:dyDescent="0.2">
      <c r="B1297" s="67"/>
      <c r="C1297" s="67"/>
      <c r="D1297" s="67"/>
    </row>
    <row r="1298" spans="2:4" x14ac:dyDescent="0.2">
      <c r="B1298" s="67"/>
      <c r="C1298" s="67"/>
      <c r="D1298" s="67"/>
    </row>
    <row r="1299" spans="2:4" x14ac:dyDescent="0.2">
      <c r="B1299" s="67"/>
      <c r="C1299" s="67"/>
      <c r="D1299" s="67"/>
    </row>
    <row r="1300" spans="2:4" x14ac:dyDescent="0.2">
      <c r="B1300" s="67"/>
      <c r="C1300" s="67"/>
      <c r="D1300" s="67"/>
    </row>
    <row r="1301" spans="2:4" x14ac:dyDescent="0.2">
      <c r="B1301" s="67"/>
      <c r="C1301" s="67"/>
      <c r="D1301" s="67"/>
    </row>
    <row r="1302" spans="2:4" x14ac:dyDescent="0.2">
      <c r="B1302" s="67"/>
      <c r="C1302" s="67"/>
      <c r="D1302" s="67"/>
    </row>
    <row r="1303" spans="2:4" x14ac:dyDescent="0.2">
      <c r="B1303" s="67"/>
      <c r="C1303" s="67"/>
      <c r="D1303" s="67"/>
    </row>
    <row r="1304" spans="2:4" x14ac:dyDescent="0.2">
      <c r="B1304" s="67"/>
      <c r="C1304" s="67"/>
      <c r="D1304" s="67"/>
    </row>
    <row r="1305" spans="2:4" x14ac:dyDescent="0.2">
      <c r="B1305" s="67"/>
      <c r="C1305" s="67"/>
      <c r="D1305" s="67"/>
    </row>
    <row r="1306" spans="2:4" x14ac:dyDescent="0.2">
      <c r="B1306" s="67"/>
      <c r="C1306" s="67"/>
      <c r="D1306" s="67"/>
    </row>
    <row r="1307" spans="2:4" x14ac:dyDescent="0.2">
      <c r="B1307" s="67"/>
      <c r="C1307" s="67"/>
      <c r="D1307" s="67"/>
    </row>
    <row r="1308" spans="2:4" x14ac:dyDescent="0.2">
      <c r="B1308" s="67"/>
      <c r="C1308" s="67"/>
      <c r="D1308" s="67"/>
    </row>
    <row r="1309" spans="2:4" x14ac:dyDescent="0.2">
      <c r="B1309" s="67"/>
      <c r="C1309" s="67"/>
      <c r="D1309" s="67"/>
    </row>
    <row r="1310" spans="2:4" x14ac:dyDescent="0.2">
      <c r="B1310" s="67"/>
      <c r="C1310" s="67"/>
      <c r="D1310" s="67"/>
    </row>
    <row r="1311" spans="2:4" x14ac:dyDescent="0.2">
      <c r="B1311" s="67"/>
      <c r="C1311" s="67"/>
      <c r="D1311" s="67"/>
    </row>
    <row r="1312" spans="2:4" x14ac:dyDescent="0.2">
      <c r="B1312" s="67"/>
      <c r="C1312" s="67"/>
      <c r="D1312" s="67"/>
    </row>
    <row r="1313" spans="2:4" x14ac:dyDescent="0.2">
      <c r="B1313" s="67"/>
      <c r="C1313" s="67"/>
      <c r="D1313" s="67"/>
    </row>
    <row r="1314" spans="2:4" x14ac:dyDescent="0.2">
      <c r="B1314" s="67"/>
      <c r="C1314" s="67"/>
      <c r="D1314" s="67"/>
    </row>
    <row r="1315" spans="2:4" x14ac:dyDescent="0.2">
      <c r="B1315" s="67"/>
      <c r="C1315" s="67"/>
      <c r="D1315" s="67"/>
    </row>
    <row r="1316" spans="2:4" x14ac:dyDescent="0.2">
      <c r="B1316" s="67"/>
      <c r="C1316" s="67"/>
      <c r="D1316" s="67"/>
    </row>
    <row r="1317" spans="2:4" x14ac:dyDescent="0.2">
      <c r="B1317" s="67"/>
      <c r="C1317" s="67"/>
      <c r="D1317" s="67"/>
    </row>
    <row r="1318" spans="2:4" x14ac:dyDescent="0.2">
      <c r="B1318" s="67"/>
      <c r="C1318" s="67"/>
      <c r="D1318" s="67"/>
    </row>
    <row r="1319" spans="2:4" x14ac:dyDescent="0.2">
      <c r="B1319" s="67"/>
      <c r="C1319" s="67"/>
      <c r="D1319" s="67"/>
    </row>
    <row r="1320" spans="2:4" x14ac:dyDescent="0.2">
      <c r="B1320" s="67"/>
      <c r="C1320" s="67"/>
      <c r="D1320" s="67"/>
    </row>
    <row r="1321" spans="2:4" x14ac:dyDescent="0.2">
      <c r="B1321" s="67"/>
      <c r="C1321" s="67"/>
      <c r="D1321" s="67"/>
    </row>
    <row r="1322" spans="2:4" x14ac:dyDescent="0.2">
      <c r="B1322" s="67"/>
      <c r="C1322" s="67"/>
      <c r="D1322" s="67"/>
    </row>
    <row r="1323" spans="2:4" x14ac:dyDescent="0.2">
      <c r="B1323" s="67"/>
      <c r="C1323" s="67"/>
      <c r="D1323" s="67"/>
    </row>
    <row r="1324" spans="2:4" x14ac:dyDescent="0.2">
      <c r="B1324" s="67"/>
      <c r="C1324" s="67"/>
      <c r="D1324" s="67"/>
    </row>
    <row r="1325" spans="2:4" x14ac:dyDescent="0.2">
      <c r="B1325" s="67"/>
      <c r="C1325" s="67"/>
      <c r="D1325" s="67"/>
    </row>
    <row r="1326" spans="2:4" x14ac:dyDescent="0.2">
      <c r="B1326" s="67"/>
      <c r="C1326" s="67"/>
      <c r="D1326" s="67"/>
    </row>
    <row r="1327" spans="2:4" x14ac:dyDescent="0.2">
      <c r="B1327" s="67"/>
      <c r="C1327" s="67"/>
      <c r="D1327" s="67"/>
    </row>
    <row r="1328" spans="2:4" x14ac:dyDescent="0.2">
      <c r="B1328" s="67"/>
      <c r="C1328" s="67"/>
      <c r="D1328" s="67"/>
    </row>
    <row r="1329" spans="2:4" x14ac:dyDescent="0.2">
      <c r="B1329" s="67"/>
      <c r="C1329" s="67"/>
      <c r="D1329" s="67"/>
    </row>
    <row r="1330" spans="2:4" x14ac:dyDescent="0.2">
      <c r="B1330" s="67"/>
      <c r="C1330" s="67"/>
      <c r="D1330" s="67"/>
    </row>
    <row r="1331" spans="2:4" x14ac:dyDescent="0.2">
      <c r="B1331" s="67"/>
      <c r="C1331" s="67"/>
      <c r="D1331" s="67"/>
    </row>
    <row r="1332" spans="2:4" x14ac:dyDescent="0.2">
      <c r="B1332" s="67"/>
      <c r="C1332" s="67"/>
      <c r="D1332" s="67"/>
    </row>
    <row r="1333" spans="2:4" x14ac:dyDescent="0.2">
      <c r="B1333" s="67"/>
      <c r="C1333" s="67"/>
      <c r="D1333" s="67"/>
    </row>
    <row r="1334" spans="2:4" x14ac:dyDescent="0.2">
      <c r="B1334" s="67"/>
      <c r="C1334" s="67"/>
      <c r="D1334" s="67"/>
    </row>
    <row r="1335" spans="2:4" x14ac:dyDescent="0.2">
      <c r="B1335" s="67"/>
      <c r="C1335" s="67"/>
      <c r="D1335" s="67"/>
    </row>
    <row r="1336" spans="2:4" x14ac:dyDescent="0.2">
      <c r="B1336" s="67"/>
      <c r="C1336" s="67"/>
      <c r="D1336" s="67"/>
    </row>
    <row r="1337" spans="2:4" x14ac:dyDescent="0.2">
      <c r="B1337" s="67"/>
      <c r="C1337" s="67"/>
      <c r="D1337" s="67"/>
    </row>
    <row r="1338" spans="2:4" x14ac:dyDescent="0.2">
      <c r="B1338" s="67"/>
      <c r="C1338" s="67"/>
      <c r="D1338" s="67"/>
    </row>
    <row r="1339" spans="2:4" x14ac:dyDescent="0.2">
      <c r="B1339" s="67"/>
      <c r="C1339" s="67"/>
      <c r="D1339" s="67"/>
    </row>
    <row r="1340" spans="2:4" x14ac:dyDescent="0.2">
      <c r="B1340" s="67"/>
      <c r="C1340" s="67"/>
      <c r="D1340" s="67"/>
    </row>
    <row r="1341" spans="2:4" x14ac:dyDescent="0.2">
      <c r="B1341" s="67"/>
      <c r="C1341" s="67"/>
      <c r="D1341" s="67"/>
    </row>
    <row r="1342" spans="2:4" x14ac:dyDescent="0.2">
      <c r="B1342" s="67"/>
      <c r="C1342" s="67"/>
      <c r="D1342" s="67"/>
    </row>
    <row r="1343" spans="2:4" x14ac:dyDescent="0.2">
      <c r="B1343" s="67"/>
      <c r="C1343" s="67"/>
      <c r="D1343" s="67"/>
    </row>
    <row r="1344" spans="2:4" x14ac:dyDescent="0.2">
      <c r="B1344" s="67"/>
      <c r="C1344" s="67"/>
      <c r="D1344" s="67"/>
    </row>
    <row r="1345" spans="2:4" x14ac:dyDescent="0.2">
      <c r="B1345" s="67"/>
      <c r="C1345" s="67"/>
      <c r="D1345" s="67"/>
    </row>
    <row r="1346" spans="2:4" x14ac:dyDescent="0.2">
      <c r="B1346" s="67"/>
      <c r="C1346" s="67"/>
      <c r="D1346" s="67"/>
    </row>
    <row r="1347" spans="2:4" x14ac:dyDescent="0.2">
      <c r="B1347" s="67"/>
      <c r="C1347" s="67"/>
      <c r="D1347" s="67"/>
    </row>
    <row r="1348" spans="2:4" x14ac:dyDescent="0.2">
      <c r="B1348" s="67"/>
      <c r="C1348" s="67"/>
      <c r="D1348" s="67"/>
    </row>
    <row r="1349" spans="2:4" x14ac:dyDescent="0.2">
      <c r="B1349" s="67"/>
      <c r="C1349" s="67"/>
      <c r="D1349" s="67"/>
    </row>
    <row r="1350" spans="2:4" x14ac:dyDescent="0.2">
      <c r="B1350" s="67"/>
      <c r="C1350" s="67"/>
      <c r="D1350" s="67"/>
    </row>
    <row r="1351" spans="2:4" x14ac:dyDescent="0.2">
      <c r="B1351" s="67"/>
      <c r="C1351" s="67"/>
      <c r="D1351" s="67"/>
    </row>
    <row r="1352" spans="2:4" x14ac:dyDescent="0.2">
      <c r="B1352" s="67"/>
      <c r="C1352" s="67"/>
      <c r="D1352" s="67"/>
    </row>
    <row r="1353" spans="2:4" x14ac:dyDescent="0.2">
      <c r="B1353" s="67"/>
      <c r="C1353" s="67"/>
      <c r="D1353" s="67"/>
    </row>
    <row r="1354" spans="2:4" x14ac:dyDescent="0.2">
      <c r="B1354" s="67"/>
      <c r="C1354" s="67"/>
      <c r="D1354" s="67"/>
    </row>
    <row r="1355" spans="2:4" x14ac:dyDescent="0.2">
      <c r="B1355" s="67"/>
      <c r="C1355" s="67"/>
      <c r="D1355" s="67"/>
    </row>
    <row r="1356" spans="2:4" x14ac:dyDescent="0.2">
      <c r="B1356" s="67"/>
      <c r="C1356" s="67"/>
      <c r="D1356" s="67"/>
    </row>
    <row r="1357" spans="2:4" x14ac:dyDescent="0.2">
      <c r="B1357" s="67"/>
      <c r="C1357" s="67"/>
      <c r="D1357" s="67"/>
    </row>
    <row r="1358" spans="2:4" x14ac:dyDescent="0.2">
      <c r="B1358" s="67"/>
      <c r="C1358" s="67"/>
      <c r="D1358" s="67"/>
    </row>
    <row r="1359" spans="2:4" x14ac:dyDescent="0.2">
      <c r="B1359" s="67"/>
      <c r="C1359" s="67"/>
      <c r="D1359" s="67"/>
    </row>
    <row r="1360" spans="2:4" x14ac:dyDescent="0.2">
      <c r="B1360" s="67"/>
      <c r="C1360" s="67"/>
      <c r="D1360" s="67"/>
    </row>
    <row r="1361" spans="2:4" x14ac:dyDescent="0.2">
      <c r="B1361" s="67"/>
      <c r="C1361" s="67"/>
      <c r="D1361" s="67"/>
    </row>
    <row r="1362" spans="2:4" x14ac:dyDescent="0.2">
      <c r="B1362" s="67"/>
      <c r="C1362" s="67"/>
      <c r="D1362" s="67"/>
    </row>
    <row r="1363" spans="2:4" x14ac:dyDescent="0.2">
      <c r="B1363" s="67"/>
      <c r="C1363" s="67"/>
      <c r="D1363" s="67"/>
    </row>
    <row r="1364" spans="2:4" x14ac:dyDescent="0.2">
      <c r="B1364" s="67"/>
      <c r="C1364" s="67"/>
      <c r="D1364" s="67"/>
    </row>
    <row r="1365" spans="2:4" x14ac:dyDescent="0.2">
      <c r="B1365" s="67"/>
      <c r="C1365" s="67"/>
      <c r="D1365" s="67"/>
    </row>
    <row r="1366" spans="2:4" x14ac:dyDescent="0.2">
      <c r="B1366" s="67"/>
      <c r="C1366" s="67"/>
      <c r="D1366" s="67"/>
    </row>
    <row r="1367" spans="2:4" x14ac:dyDescent="0.2">
      <c r="B1367" s="67"/>
      <c r="C1367" s="67"/>
      <c r="D1367" s="67"/>
    </row>
    <row r="1368" spans="2:4" x14ac:dyDescent="0.2">
      <c r="B1368" s="67"/>
      <c r="C1368" s="67"/>
      <c r="D1368" s="67"/>
    </row>
    <row r="1369" spans="2:4" x14ac:dyDescent="0.2">
      <c r="B1369" s="67"/>
      <c r="C1369" s="67"/>
      <c r="D1369" s="67"/>
    </row>
    <row r="1370" spans="2:4" x14ac:dyDescent="0.2">
      <c r="B1370" s="67"/>
      <c r="C1370" s="67"/>
      <c r="D1370" s="67"/>
    </row>
    <row r="1371" spans="2:4" x14ac:dyDescent="0.2">
      <c r="B1371" s="67"/>
      <c r="C1371" s="67"/>
      <c r="D1371" s="67"/>
    </row>
    <row r="1372" spans="2:4" x14ac:dyDescent="0.2">
      <c r="B1372" s="67"/>
      <c r="C1372" s="67"/>
      <c r="D1372" s="67"/>
    </row>
    <row r="1373" spans="2:4" x14ac:dyDescent="0.2">
      <c r="B1373" s="67"/>
      <c r="C1373" s="67"/>
      <c r="D1373" s="67"/>
    </row>
    <row r="1374" spans="2:4" x14ac:dyDescent="0.2">
      <c r="B1374" s="67"/>
      <c r="C1374" s="67"/>
      <c r="D1374" s="67"/>
    </row>
    <row r="1375" spans="2:4" x14ac:dyDescent="0.2">
      <c r="B1375" s="67"/>
      <c r="C1375" s="67"/>
      <c r="D1375" s="67"/>
    </row>
    <row r="1376" spans="2:4" x14ac:dyDescent="0.2">
      <c r="B1376" s="67"/>
      <c r="C1376" s="67"/>
      <c r="D1376" s="67"/>
    </row>
    <row r="1377" spans="2:4" x14ac:dyDescent="0.2">
      <c r="B1377" s="67"/>
      <c r="C1377" s="67"/>
      <c r="D1377" s="67"/>
    </row>
    <row r="1378" spans="2:4" x14ac:dyDescent="0.2">
      <c r="B1378" s="67"/>
      <c r="C1378" s="67"/>
      <c r="D1378" s="67"/>
    </row>
    <row r="1379" spans="2:4" x14ac:dyDescent="0.2">
      <c r="B1379" s="67"/>
      <c r="C1379" s="67"/>
      <c r="D1379" s="67"/>
    </row>
    <row r="1380" spans="2:4" x14ac:dyDescent="0.2">
      <c r="B1380" s="67"/>
      <c r="C1380" s="67"/>
      <c r="D1380" s="67"/>
    </row>
    <row r="1381" spans="2:4" x14ac:dyDescent="0.2">
      <c r="B1381" s="67"/>
      <c r="C1381" s="67"/>
      <c r="D1381" s="67"/>
    </row>
    <row r="1382" spans="2:4" x14ac:dyDescent="0.2">
      <c r="B1382" s="67"/>
      <c r="C1382" s="67"/>
      <c r="D1382" s="67"/>
    </row>
    <row r="1383" spans="2:4" x14ac:dyDescent="0.2">
      <c r="B1383" s="67"/>
      <c r="C1383" s="67"/>
      <c r="D1383" s="67"/>
    </row>
    <row r="1384" spans="2:4" x14ac:dyDescent="0.2">
      <c r="B1384" s="67"/>
      <c r="C1384" s="67"/>
      <c r="D1384" s="67"/>
    </row>
    <row r="1385" spans="2:4" x14ac:dyDescent="0.2">
      <c r="B1385" s="67"/>
      <c r="C1385" s="67"/>
      <c r="D1385" s="67"/>
    </row>
    <row r="1386" spans="2:4" x14ac:dyDescent="0.2">
      <c r="B1386" s="67"/>
      <c r="C1386" s="67"/>
      <c r="D1386" s="67"/>
    </row>
    <row r="1387" spans="2:4" x14ac:dyDescent="0.2">
      <c r="B1387" s="67"/>
      <c r="C1387" s="67"/>
      <c r="D1387" s="67"/>
    </row>
    <row r="1388" spans="2:4" x14ac:dyDescent="0.2">
      <c r="B1388" s="67"/>
      <c r="C1388" s="67"/>
      <c r="D1388" s="67"/>
    </row>
    <row r="1389" spans="2:4" x14ac:dyDescent="0.2">
      <c r="B1389" s="67"/>
      <c r="C1389" s="67"/>
      <c r="D1389" s="67"/>
    </row>
    <row r="1390" spans="2:4" x14ac:dyDescent="0.2">
      <c r="B1390" s="67"/>
      <c r="C1390" s="67"/>
      <c r="D1390" s="67"/>
    </row>
    <row r="1391" spans="2:4" x14ac:dyDescent="0.2">
      <c r="B1391" s="67"/>
      <c r="C1391" s="67"/>
      <c r="D1391" s="67"/>
    </row>
    <row r="1392" spans="2:4" x14ac:dyDescent="0.2">
      <c r="B1392" s="67"/>
      <c r="C1392" s="67"/>
      <c r="D1392" s="67"/>
    </row>
    <row r="1393" spans="2:4" x14ac:dyDescent="0.2">
      <c r="B1393" s="67"/>
      <c r="C1393" s="67"/>
      <c r="D1393" s="67"/>
    </row>
    <row r="1394" spans="2:4" x14ac:dyDescent="0.2">
      <c r="B1394" s="67"/>
      <c r="C1394" s="67"/>
      <c r="D1394" s="67"/>
    </row>
    <row r="1395" spans="2:4" x14ac:dyDescent="0.2">
      <c r="B1395" s="67"/>
      <c r="C1395" s="67"/>
      <c r="D1395" s="67"/>
    </row>
    <row r="1396" spans="2:4" x14ac:dyDescent="0.2">
      <c r="B1396" s="67"/>
      <c r="C1396" s="67"/>
      <c r="D1396" s="67"/>
    </row>
    <row r="1397" spans="2:4" x14ac:dyDescent="0.2">
      <c r="B1397" s="67"/>
      <c r="C1397" s="67"/>
      <c r="D1397" s="67"/>
    </row>
    <row r="1398" spans="2:4" x14ac:dyDescent="0.2">
      <c r="B1398" s="67"/>
      <c r="C1398" s="67"/>
      <c r="D1398" s="67"/>
    </row>
    <row r="1399" spans="2:4" x14ac:dyDescent="0.2">
      <c r="B1399" s="67"/>
      <c r="C1399" s="67"/>
      <c r="D1399" s="67"/>
    </row>
    <row r="1400" spans="2:4" x14ac:dyDescent="0.2">
      <c r="B1400" s="67"/>
      <c r="C1400" s="67"/>
      <c r="D1400" s="67"/>
    </row>
    <row r="1401" spans="2:4" x14ac:dyDescent="0.2">
      <c r="B1401" s="67"/>
      <c r="C1401" s="67"/>
      <c r="D1401" s="67"/>
    </row>
    <row r="1402" spans="2:4" x14ac:dyDescent="0.2">
      <c r="B1402" s="67"/>
      <c r="C1402" s="67"/>
      <c r="D1402" s="67"/>
    </row>
    <row r="1403" spans="2:4" x14ac:dyDescent="0.2">
      <c r="B1403" s="67"/>
      <c r="C1403" s="67"/>
      <c r="D1403" s="67"/>
    </row>
    <row r="1404" spans="2:4" x14ac:dyDescent="0.2">
      <c r="B1404" s="67"/>
      <c r="C1404" s="67"/>
      <c r="D1404" s="67"/>
    </row>
    <row r="1405" spans="2:4" x14ac:dyDescent="0.2">
      <c r="B1405" s="67"/>
      <c r="C1405" s="67"/>
      <c r="D1405" s="67"/>
    </row>
    <row r="1406" spans="2:4" x14ac:dyDescent="0.2">
      <c r="B1406" s="67"/>
      <c r="C1406" s="67"/>
      <c r="D1406" s="67"/>
    </row>
    <row r="1407" spans="2:4" x14ac:dyDescent="0.2">
      <c r="B1407" s="67"/>
      <c r="C1407" s="67"/>
      <c r="D1407" s="67"/>
    </row>
    <row r="1408" spans="2:4" x14ac:dyDescent="0.2">
      <c r="B1408" s="67"/>
      <c r="C1408" s="67"/>
      <c r="D1408" s="67"/>
    </row>
    <row r="1409" spans="2:4" x14ac:dyDescent="0.2">
      <c r="B1409" s="67"/>
      <c r="C1409" s="67"/>
      <c r="D1409" s="67"/>
    </row>
    <row r="1410" spans="2:4" x14ac:dyDescent="0.2">
      <c r="B1410" s="67"/>
      <c r="C1410" s="67"/>
      <c r="D1410" s="67"/>
    </row>
    <row r="1411" spans="2:4" x14ac:dyDescent="0.2">
      <c r="B1411" s="67"/>
      <c r="C1411" s="67"/>
      <c r="D1411" s="67"/>
    </row>
    <row r="1412" spans="2:4" x14ac:dyDescent="0.2">
      <c r="B1412" s="67"/>
      <c r="C1412" s="67"/>
      <c r="D1412" s="67"/>
    </row>
    <row r="1413" spans="2:4" x14ac:dyDescent="0.2">
      <c r="B1413" s="67"/>
      <c r="C1413" s="67"/>
      <c r="D1413" s="67"/>
    </row>
    <row r="1414" spans="2:4" x14ac:dyDescent="0.2">
      <c r="B1414" s="67"/>
      <c r="C1414" s="67"/>
      <c r="D1414" s="67"/>
    </row>
    <row r="1415" spans="2:4" x14ac:dyDescent="0.2">
      <c r="B1415" s="67"/>
      <c r="C1415" s="67"/>
      <c r="D1415" s="67"/>
    </row>
    <row r="1416" spans="2:4" x14ac:dyDescent="0.2">
      <c r="B1416" s="67"/>
      <c r="C1416" s="67"/>
      <c r="D1416" s="67"/>
    </row>
    <row r="1417" spans="2:4" x14ac:dyDescent="0.2">
      <c r="B1417" s="67"/>
      <c r="C1417" s="67"/>
      <c r="D1417" s="67"/>
    </row>
    <row r="1418" spans="2:4" x14ac:dyDescent="0.2">
      <c r="B1418" s="67"/>
      <c r="C1418" s="67"/>
      <c r="D1418" s="67"/>
    </row>
    <row r="1419" spans="2:4" x14ac:dyDescent="0.2">
      <c r="B1419" s="67"/>
      <c r="C1419" s="67"/>
      <c r="D1419" s="67"/>
    </row>
    <row r="1420" spans="2:4" x14ac:dyDescent="0.2">
      <c r="B1420" s="67"/>
      <c r="C1420" s="67"/>
      <c r="D1420" s="67"/>
    </row>
    <row r="1421" spans="2:4" x14ac:dyDescent="0.2">
      <c r="B1421" s="67"/>
      <c r="C1421" s="67"/>
      <c r="D1421" s="67"/>
    </row>
    <row r="1422" spans="2:4" x14ac:dyDescent="0.2">
      <c r="B1422" s="67"/>
      <c r="C1422" s="67"/>
      <c r="D1422" s="67"/>
    </row>
    <row r="1423" spans="2:4" x14ac:dyDescent="0.2">
      <c r="B1423" s="67"/>
      <c r="C1423" s="67"/>
      <c r="D1423" s="67"/>
    </row>
    <row r="1424" spans="2:4" x14ac:dyDescent="0.2">
      <c r="B1424" s="67"/>
      <c r="C1424" s="67"/>
      <c r="D1424" s="67"/>
    </row>
    <row r="1425" spans="2:4" x14ac:dyDescent="0.2">
      <c r="B1425" s="67"/>
      <c r="C1425" s="67"/>
      <c r="D1425" s="67"/>
    </row>
    <row r="1426" spans="2:4" x14ac:dyDescent="0.2">
      <c r="B1426" s="67"/>
      <c r="C1426" s="67"/>
      <c r="D1426" s="67"/>
    </row>
    <row r="1427" spans="2:4" x14ac:dyDescent="0.2">
      <c r="B1427" s="67"/>
      <c r="C1427" s="67"/>
      <c r="D1427" s="67"/>
    </row>
    <row r="1428" spans="2:4" x14ac:dyDescent="0.2">
      <c r="B1428" s="67"/>
      <c r="C1428" s="67"/>
      <c r="D1428" s="67"/>
    </row>
    <row r="1429" spans="2:4" x14ac:dyDescent="0.2">
      <c r="B1429" s="67"/>
      <c r="C1429" s="67"/>
      <c r="D1429" s="67"/>
    </row>
    <row r="1430" spans="2:4" x14ac:dyDescent="0.2">
      <c r="B1430" s="67"/>
      <c r="C1430" s="67"/>
      <c r="D1430" s="67"/>
    </row>
    <row r="1431" spans="2:4" x14ac:dyDescent="0.2">
      <c r="B1431" s="67"/>
      <c r="C1431" s="67"/>
      <c r="D1431" s="67"/>
    </row>
    <row r="1432" spans="2:4" x14ac:dyDescent="0.2">
      <c r="B1432" s="67"/>
      <c r="C1432" s="67"/>
      <c r="D1432" s="67"/>
    </row>
    <row r="1433" spans="2:4" x14ac:dyDescent="0.2">
      <c r="B1433" s="67"/>
      <c r="C1433" s="67"/>
      <c r="D1433" s="67"/>
    </row>
    <row r="1434" spans="2:4" x14ac:dyDescent="0.2">
      <c r="B1434" s="67"/>
      <c r="C1434" s="67"/>
      <c r="D1434" s="67"/>
    </row>
    <row r="1435" spans="2:4" x14ac:dyDescent="0.2">
      <c r="B1435" s="67"/>
      <c r="C1435" s="67"/>
      <c r="D1435" s="67"/>
    </row>
    <row r="1436" spans="2:4" x14ac:dyDescent="0.2">
      <c r="B1436" s="67"/>
      <c r="C1436" s="67"/>
      <c r="D1436" s="67"/>
    </row>
    <row r="1437" spans="2:4" x14ac:dyDescent="0.2">
      <c r="B1437" s="67"/>
      <c r="C1437" s="67"/>
      <c r="D1437" s="67"/>
    </row>
    <row r="1438" spans="2:4" x14ac:dyDescent="0.2">
      <c r="B1438" s="67"/>
      <c r="C1438" s="67"/>
      <c r="D1438" s="67"/>
    </row>
    <row r="1439" spans="2:4" x14ac:dyDescent="0.2">
      <c r="B1439" s="67"/>
      <c r="C1439" s="67"/>
      <c r="D1439" s="67"/>
    </row>
    <row r="1440" spans="2:4" x14ac:dyDescent="0.2">
      <c r="B1440" s="67"/>
      <c r="C1440" s="67"/>
      <c r="D1440" s="67"/>
    </row>
    <row r="1441" spans="2:4" x14ac:dyDescent="0.2">
      <c r="B1441" s="67"/>
      <c r="C1441" s="67"/>
      <c r="D1441" s="67"/>
    </row>
    <row r="1442" spans="2:4" x14ac:dyDescent="0.2">
      <c r="B1442" s="67"/>
      <c r="C1442" s="67"/>
      <c r="D1442" s="67"/>
    </row>
    <row r="1443" spans="2:4" x14ac:dyDescent="0.2">
      <c r="B1443" s="67"/>
      <c r="C1443" s="67"/>
      <c r="D1443" s="67"/>
    </row>
    <row r="1444" spans="2:4" x14ac:dyDescent="0.2">
      <c r="B1444" s="67"/>
      <c r="C1444" s="67"/>
      <c r="D1444" s="67"/>
    </row>
    <row r="1445" spans="2:4" x14ac:dyDescent="0.2">
      <c r="B1445" s="67"/>
      <c r="C1445" s="67"/>
      <c r="D1445" s="67"/>
    </row>
    <row r="1446" spans="2:4" x14ac:dyDescent="0.2">
      <c r="B1446" s="67"/>
      <c r="C1446" s="67"/>
      <c r="D1446" s="67"/>
    </row>
    <row r="1447" spans="2:4" x14ac:dyDescent="0.2">
      <c r="B1447" s="67"/>
      <c r="C1447" s="67"/>
      <c r="D1447" s="67"/>
    </row>
    <row r="1448" spans="2:4" x14ac:dyDescent="0.2">
      <c r="B1448" s="67"/>
      <c r="C1448" s="67"/>
      <c r="D1448" s="67"/>
    </row>
    <row r="1449" spans="2:4" x14ac:dyDescent="0.2">
      <c r="B1449" s="67"/>
      <c r="C1449" s="67"/>
      <c r="D1449" s="67"/>
    </row>
    <row r="1450" spans="2:4" x14ac:dyDescent="0.2">
      <c r="B1450" s="67"/>
      <c r="C1450" s="67"/>
      <c r="D1450" s="67"/>
    </row>
    <row r="1451" spans="2:4" x14ac:dyDescent="0.2">
      <c r="B1451" s="67"/>
      <c r="C1451" s="67"/>
      <c r="D1451" s="67"/>
    </row>
    <row r="1452" spans="2:4" x14ac:dyDescent="0.2">
      <c r="B1452" s="67"/>
      <c r="C1452" s="67"/>
      <c r="D1452" s="67"/>
    </row>
    <row r="1453" spans="2:4" x14ac:dyDescent="0.2">
      <c r="B1453" s="67"/>
      <c r="C1453" s="67"/>
      <c r="D1453" s="67"/>
    </row>
    <row r="1454" spans="2:4" x14ac:dyDescent="0.2">
      <c r="B1454" s="67"/>
      <c r="C1454" s="67"/>
      <c r="D1454" s="67"/>
    </row>
    <row r="1455" spans="2:4" x14ac:dyDescent="0.2">
      <c r="B1455" s="67"/>
      <c r="C1455" s="67"/>
      <c r="D1455" s="67"/>
    </row>
    <row r="1456" spans="2:4" x14ac:dyDescent="0.2">
      <c r="B1456" s="67"/>
      <c r="C1456" s="67"/>
      <c r="D1456" s="67"/>
    </row>
    <row r="1457" spans="2:4" x14ac:dyDescent="0.2">
      <c r="B1457" s="67"/>
      <c r="C1457" s="67"/>
      <c r="D1457" s="67"/>
    </row>
    <row r="1458" spans="2:4" x14ac:dyDescent="0.2">
      <c r="B1458" s="67"/>
      <c r="C1458" s="67"/>
      <c r="D1458" s="67"/>
    </row>
    <row r="1459" spans="2:4" x14ac:dyDescent="0.2">
      <c r="B1459" s="67"/>
      <c r="C1459" s="67"/>
      <c r="D1459" s="67"/>
    </row>
    <row r="1460" spans="2:4" x14ac:dyDescent="0.2">
      <c r="B1460" s="67"/>
      <c r="C1460" s="67"/>
      <c r="D1460" s="67"/>
    </row>
    <row r="1461" spans="2:4" x14ac:dyDescent="0.2">
      <c r="B1461" s="67"/>
      <c r="C1461" s="67"/>
      <c r="D1461" s="67"/>
    </row>
    <row r="1462" spans="2:4" x14ac:dyDescent="0.2">
      <c r="B1462" s="67"/>
      <c r="C1462" s="67"/>
      <c r="D1462" s="67"/>
    </row>
    <row r="1463" spans="2:4" x14ac:dyDescent="0.2">
      <c r="B1463" s="67"/>
      <c r="C1463" s="67"/>
      <c r="D1463" s="67"/>
    </row>
    <row r="1464" spans="2:4" x14ac:dyDescent="0.2">
      <c r="B1464" s="67"/>
      <c r="C1464" s="67"/>
      <c r="D1464" s="67"/>
    </row>
    <row r="1465" spans="2:4" x14ac:dyDescent="0.2">
      <c r="B1465" s="67"/>
      <c r="C1465" s="67"/>
      <c r="D1465" s="67"/>
    </row>
    <row r="1466" spans="2:4" x14ac:dyDescent="0.2">
      <c r="B1466" s="67"/>
      <c r="C1466" s="67"/>
      <c r="D1466" s="67"/>
    </row>
    <row r="1467" spans="2:4" x14ac:dyDescent="0.2">
      <c r="B1467" s="67"/>
      <c r="C1467" s="67"/>
      <c r="D1467" s="67"/>
    </row>
    <row r="1468" spans="2:4" x14ac:dyDescent="0.2">
      <c r="B1468" s="67"/>
      <c r="C1468" s="67"/>
      <c r="D1468" s="67"/>
    </row>
    <row r="1469" spans="2:4" x14ac:dyDescent="0.2">
      <c r="B1469" s="67"/>
      <c r="C1469" s="67"/>
      <c r="D1469" s="67"/>
    </row>
    <row r="1470" spans="2:4" x14ac:dyDescent="0.2">
      <c r="B1470" s="67"/>
      <c r="C1470" s="67"/>
      <c r="D1470" s="67"/>
    </row>
    <row r="1471" spans="2:4" x14ac:dyDescent="0.2">
      <c r="B1471" s="67"/>
      <c r="C1471" s="67"/>
      <c r="D1471" s="67"/>
    </row>
    <row r="1472" spans="2:4" x14ac:dyDescent="0.2">
      <c r="B1472" s="67"/>
      <c r="C1472" s="67"/>
      <c r="D1472" s="67"/>
    </row>
    <row r="1473" spans="2:4" x14ac:dyDescent="0.2">
      <c r="B1473" s="67"/>
      <c r="C1473" s="67"/>
      <c r="D1473" s="67"/>
    </row>
    <row r="1474" spans="2:4" x14ac:dyDescent="0.2">
      <c r="B1474" s="67"/>
      <c r="C1474" s="67"/>
      <c r="D1474" s="67"/>
    </row>
    <row r="1475" spans="2:4" x14ac:dyDescent="0.2">
      <c r="B1475" s="67"/>
      <c r="C1475" s="67"/>
      <c r="D1475" s="67"/>
    </row>
    <row r="1476" spans="2:4" x14ac:dyDescent="0.2">
      <c r="B1476" s="67"/>
      <c r="C1476" s="67"/>
      <c r="D1476" s="67"/>
    </row>
    <row r="1477" spans="2:4" x14ac:dyDescent="0.2">
      <c r="B1477" s="67"/>
      <c r="C1477" s="67"/>
      <c r="D1477" s="67"/>
    </row>
    <row r="1478" spans="2:4" x14ac:dyDescent="0.2">
      <c r="B1478" s="67"/>
      <c r="C1478" s="67"/>
      <c r="D1478" s="67"/>
    </row>
    <row r="1479" spans="2:4" x14ac:dyDescent="0.2">
      <c r="B1479" s="67"/>
      <c r="C1479" s="67"/>
      <c r="D1479" s="67"/>
    </row>
    <row r="1480" spans="2:4" x14ac:dyDescent="0.2">
      <c r="B1480" s="67"/>
      <c r="C1480" s="67"/>
      <c r="D1480" s="67"/>
    </row>
    <row r="1481" spans="2:4" x14ac:dyDescent="0.2">
      <c r="B1481" s="67"/>
      <c r="C1481" s="67"/>
      <c r="D1481" s="67"/>
    </row>
    <row r="1482" spans="2:4" x14ac:dyDescent="0.2">
      <c r="B1482" s="67"/>
      <c r="C1482" s="67"/>
      <c r="D1482" s="67"/>
    </row>
    <row r="1483" spans="2:4" x14ac:dyDescent="0.2">
      <c r="B1483" s="67"/>
      <c r="C1483" s="67"/>
      <c r="D1483" s="67"/>
    </row>
    <row r="1484" spans="2:4" x14ac:dyDescent="0.2">
      <c r="B1484" s="67"/>
      <c r="C1484" s="67"/>
      <c r="D1484" s="67"/>
    </row>
    <row r="1485" spans="2:4" x14ac:dyDescent="0.2">
      <c r="B1485" s="67"/>
      <c r="C1485" s="67"/>
      <c r="D1485" s="67"/>
    </row>
    <row r="1486" spans="2:4" x14ac:dyDescent="0.2">
      <c r="B1486" s="67"/>
      <c r="C1486" s="67"/>
      <c r="D1486" s="67"/>
    </row>
    <row r="1487" spans="2:4" x14ac:dyDescent="0.2">
      <c r="B1487" s="67"/>
      <c r="C1487" s="67"/>
      <c r="D1487" s="67"/>
    </row>
    <row r="1488" spans="2:4" x14ac:dyDescent="0.2">
      <c r="B1488" s="67"/>
      <c r="C1488" s="67"/>
      <c r="D1488" s="67"/>
    </row>
    <row r="1489" spans="2:4" x14ac:dyDescent="0.2">
      <c r="B1489" s="67"/>
      <c r="C1489" s="67"/>
      <c r="D1489" s="67"/>
    </row>
    <row r="1490" spans="2:4" x14ac:dyDescent="0.2">
      <c r="B1490" s="67"/>
      <c r="C1490" s="67"/>
      <c r="D1490" s="67"/>
    </row>
    <row r="1491" spans="2:4" x14ac:dyDescent="0.2">
      <c r="B1491" s="67"/>
      <c r="C1491" s="67"/>
      <c r="D1491" s="67"/>
    </row>
    <row r="1492" spans="2:4" x14ac:dyDescent="0.2">
      <c r="B1492" s="67"/>
      <c r="C1492" s="67"/>
      <c r="D1492" s="67"/>
    </row>
    <row r="1493" spans="2:4" x14ac:dyDescent="0.2">
      <c r="B1493" s="67"/>
      <c r="C1493" s="67"/>
      <c r="D1493" s="67"/>
    </row>
    <row r="1494" spans="2:4" x14ac:dyDescent="0.2">
      <c r="B1494" s="67"/>
      <c r="C1494" s="67"/>
      <c r="D1494" s="67"/>
    </row>
    <row r="1495" spans="2:4" x14ac:dyDescent="0.2">
      <c r="B1495" s="67"/>
      <c r="C1495" s="67"/>
      <c r="D1495" s="67"/>
    </row>
    <row r="1496" spans="2:4" x14ac:dyDescent="0.2">
      <c r="B1496" s="67"/>
      <c r="C1496" s="67"/>
      <c r="D1496" s="67"/>
    </row>
    <row r="1497" spans="2:4" x14ac:dyDescent="0.2">
      <c r="B1497" s="67"/>
      <c r="C1497" s="67"/>
      <c r="D1497" s="67"/>
    </row>
    <row r="1498" spans="2:4" x14ac:dyDescent="0.2">
      <c r="B1498" s="67"/>
      <c r="C1498" s="67"/>
      <c r="D1498" s="67"/>
    </row>
    <row r="1499" spans="2:4" x14ac:dyDescent="0.2">
      <c r="B1499" s="67"/>
      <c r="C1499" s="67"/>
      <c r="D1499" s="67"/>
    </row>
    <row r="1500" spans="2:4" x14ac:dyDescent="0.2">
      <c r="B1500" s="67"/>
      <c r="C1500" s="67"/>
      <c r="D1500" s="67"/>
    </row>
    <row r="1501" spans="2:4" x14ac:dyDescent="0.2">
      <c r="B1501" s="67"/>
      <c r="C1501" s="67"/>
      <c r="D1501" s="67"/>
    </row>
    <row r="1502" spans="2:4" x14ac:dyDescent="0.2">
      <c r="B1502" s="67"/>
      <c r="C1502" s="67"/>
      <c r="D1502" s="67"/>
    </row>
    <row r="1503" spans="2:4" x14ac:dyDescent="0.2">
      <c r="B1503" s="67"/>
      <c r="C1503" s="67"/>
      <c r="D1503" s="67"/>
    </row>
    <row r="1504" spans="2:4" x14ac:dyDescent="0.2">
      <c r="B1504" s="67"/>
      <c r="C1504" s="67"/>
      <c r="D1504" s="67"/>
    </row>
    <row r="1505" spans="2:4" x14ac:dyDescent="0.2">
      <c r="B1505" s="67"/>
      <c r="C1505" s="67"/>
      <c r="D1505" s="67"/>
    </row>
    <row r="1506" spans="2:4" x14ac:dyDescent="0.2">
      <c r="B1506" s="67"/>
      <c r="C1506" s="67"/>
      <c r="D1506" s="67"/>
    </row>
    <row r="1507" spans="2:4" x14ac:dyDescent="0.2">
      <c r="B1507" s="67"/>
      <c r="C1507" s="67"/>
      <c r="D1507" s="67"/>
    </row>
    <row r="1508" spans="2:4" x14ac:dyDescent="0.2">
      <c r="B1508" s="67"/>
      <c r="C1508" s="67"/>
      <c r="D1508" s="67"/>
    </row>
    <row r="1509" spans="2:4" x14ac:dyDescent="0.2">
      <c r="B1509" s="67"/>
      <c r="C1509" s="67"/>
      <c r="D1509" s="67"/>
    </row>
    <row r="1510" spans="2:4" x14ac:dyDescent="0.2">
      <c r="B1510" s="67"/>
      <c r="C1510" s="67"/>
      <c r="D1510" s="67"/>
    </row>
    <row r="1511" spans="2:4" x14ac:dyDescent="0.2">
      <c r="B1511" s="67"/>
      <c r="C1511" s="67"/>
      <c r="D1511" s="67"/>
    </row>
    <row r="1512" spans="2:4" x14ac:dyDescent="0.2">
      <c r="B1512" s="67"/>
      <c r="C1512" s="67"/>
      <c r="D1512" s="67"/>
    </row>
    <row r="1513" spans="2:4" x14ac:dyDescent="0.2">
      <c r="B1513" s="67"/>
      <c r="C1513" s="67"/>
      <c r="D1513" s="67"/>
    </row>
    <row r="1514" spans="2:4" x14ac:dyDescent="0.2">
      <c r="B1514" s="67"/>
      <c r="C1514" s="67"/>
      <c r="D1514" s="67"/>
    </row>
    <row r="1515" spans="2:4" x14ac:dyDescent="0.2">
      <c r="B1515" s="67"/>
      <c r="C1515" s="67"/>
      <c r="D1515" s="67"/>
    </row>
    <row r="1516" spans="2:4" x14ac:dyDescent="0.2">
      <c r="B1516" s="67"/>
      <c r="C1516" s="67"/>
      <c r="D1516" s="67"/>
    </row>
    <row r="1517" spans="2:4" x14ac:dyDescent="0.2">
      <c r="B1517" s="67"/>
      <c r="C1517" s="67"/>
      <c r="D1517" s="67"/>
    </row>
    <row r="1518" spans="2:4" x14ac:dyDescent="0.2">
      <c r="B1518" s="67"/>
      <c r="C1518" s="67"/>
      <c r="D1518" s="67"/>
    </row>
    <row r="1519" spans="2:4" x14ac:dyDescent="0.2">
      <c r="B1519" s="67"/>
      <c r="C1519" s="67"/>
      <c r="D1519" s="67"/>
    </row>
    <row r="1520" spans="2:4" x14ac:dyDescent="0.2">
      <c r="B1520" s="67"/>
      <c r="C1520" s="67"/>
      <c r="D1520" s="67"/>
    </row>
    <row r="1521" spans="2:4" x14ac:dyDescent="0.2">
      <c r="B1521" s="67"/>
      <c r="C1521" s="67"/>
      <c r="D1521" s="67"/>
    </row>
    <row r="1522" spans="2:4" x14ac:dyDescent="0.2">
      <c r="B1522" s="67"/>
      <c r="C1522" s="67"/>
      <c r="D1522" s="67"/>
    </row>
    <row r="1523" spans="2:4" x14ac:dyDescent="0.2">
      <c r="B1523" s="67"/>
      <c r="C1523" s="67"/>
      <c r="D1523" s="67"/>
    </row>
    <row r="1524" spans="2:4" x14ac:dyDescent="0.2">
      <c r="B1524" s="67"/>
      <c r="C1524" s="67"/>
      <c r="D1524" s="67"/>
    </row>
    <row r="1525" spans="2:4" x14ac:dyDescent="0.2">
      <c r="B1525" s="67"/>
      <c r="C1525" s="67"/>
      <c r="D1525" s="67"/>
    </row>
    <row r="1526" spans="2:4" x14ac:dyDescent="0.2">
      <c r="B1526" s="67"/>
      <c r="C1526" s="67"/>
      <c r="D1526" s="67"/>
    </row>
    <row r="1527" spans="2:4" x14ac:dyDescent="0.2">
      <c r="B1527" s="67"/>
      <c r="C1527" s="67"/>
      <c r="D1527" s="67"/>
    </row>
    <row r="1528" spans="2:4" x14ac:dyDescent="0.2">
      <c r="B1528" s="67"/>
      <c r="C1528" s="67"/>
      <c r="D1528" s="67"/>
    </row>
    <row r="1529" spans="2:4" x14ac:dyDescent="0.2">
      <c r="B1529" s="67"/>
      <c r="C1529" s="67"/>
      <c r="D1529" s="67"/>
    </row>
    <row r="1530" spans="2:4" x14ac:dyDescent="0.2">
      <c r="B1530" s="67"/>
      <c r="C1530" s="67"/>
      <c r="D1530" s="67"/>
    </row>
    <row r="1531" spans="2:4" x14ac:dyDescent="0.2">
      <c r="B1531" s="67"/>
      <c r="C1531" s="67"/>
      <c r="D1531" s="67"/>
    </row>
    <row r="1532" spans="2:4" x14ac:dyDescent="0.2">
      <c r="B1532" s="67"/>
      <c r="C1532" s="67"/>
      <c r="D1532" s="67"/>
    </row>
    <row r="1533" spans="2:4" x14ac:dyDescent="0.2">
      <c r="B1533" s="67"/>
      <c r="C1533" s="67"/>
      <c r="D1533" s="67"/>
    </row>
    <row r="1534" spans="2:4" x14ac:dyDescent="0.2">
      <c r="B1534" s="67"/>
      <c r="C1534" s="67"/>
      <c r="D1534" s="67"/>
    </row>
    <row r="1535" spans="2:4" x14ac:dyDescent="0.2">
      <c r="B1535" s="67"/>
      <c r="C1535" s="67"/>
      <c r="D1535" s="67"/>
    </row>
    <row r="1536" spans="2:4" x14ac:dyDescent="0.2">
      <c r="B1536" s="67"/>
      <c r="C1536" s="67"/>
      <c r="D1536" s="67"/>
    </row>
    <row r="1537" spans="2:4" x14ac:dyDescent="0.2">
      <c r="B1537" s="67"/>
      <c r="C1537" s="67"/>
      <c r="D1537" s="67"/>
    </row>
    <row r="1538" spans="2:4" x14ac:dyDescent="0.2">
      <c r="B1538" s="67"/>
      <c r="C1538" s="67"/>
      <c r="D1538" s="67"/>
    </row>
    <row r="1539" spans="2:4" x14ac:dyDescent="0.2">
      <c r="B1539" s="67"/>
      <c r="C1539" s="67"/>
      <c r="D1539" s="67"/>
    </row>
    <row r="1540" spans="2:4" x14ac:dyDescent="0.2">
      <c r="B1540" s="67"/>
      <c r="C1540" s="67"/>
      <c r="D1540" s="67"/>
    </row>
    <row r="1541" spans="2:4" x14ac:dyDescent="0.2">
      <c r="B1541" s="67"/>
      <c r="C1541" s="67"/>
      <c r="D1541" s="67"/>
    </row>
    <row r="1542" spans="2:4" x14ac:dyDescent="0.2">
      <c r="B1542" s="67"/>
      <c r="C1542" s="67"/>
      <c r="D1542" s="67"/>
    </row>
    <row r="1543" spans="2:4" x14ac:dyDescent="0.2">
      <c r="B1543" s="67"/>
      <c r="C1543" s="67"/>
      <c r="D1543" s="67"/>
    </row>
    <row r="1544" spans="2:4" x14ac:dyDescent="0.2">
      <c r="B1544" s="67"/>
      <c r="C1544" s="67"/>
      <c r="D1544" s="67"/>
    </row>
    <row r="1545" spans="2:4" x14ac:dyDescent="0.2">
      <c r="B1545" s="67"/>
      <c r="C1545" s="67"/>
      <c r="D1545" s="67"/>
    </row>
    <row r="1546" spans="2:4" x14ac:dyDescent="0.2">
      <c r="B1546" s="67"/>
      <c r="C1546" s="67"/>
      <c r="D1546" s="67"/>
    </row>
    <row r="1547" spans="2:4" x14ac:dyDescent="0.2">
      <c r="B1547" s="67"/>
      <c r="C1547" s="67"/>
      <c r="D1547" s="67"/>
    </row>
    <row r="1548" spans="2:4" x14ac:dyDescent="0.2">
      <c r="B1548" s="67"/>
      <c r="C1548" s="67"/>
      <c r="D1548" s="67"/>
    </row>
    <row r="1549" spans="2:4" x14ac:dyDescent="0.2">
      <c r="B1549" s="67"/>
      <c r="C1549" s="67"/>
      <c r="D1549" s="67"/>
    </row>
    <row r="1550" spans="2:4" x14ac:dyDescent="0.2">
      <c r="B1550" s="67"/>
      <c r="C1550" s="67"/>
      <c r="D1550" s="67"/>
    </row>
    <row r="1551" spans="2:4" x14ac:dyDescent="0.2">
      <c r="B1551" s="67"/>
      <c r="C1551" s="67"/>
      <c r="D1551" s="67"/>
    </row>
    <row r="1552" spans="2:4" x14ac:dyDescent="0.2">
      <c r="B1552" s="67"/>
      <c r="C1552" s="67"/>
      <c r="D1552" s="67"/>
    </row>
    <row r="1553" spans="2:4" x14ac:dyDescent="0.2">
      <c r="B1553" s="67"/>
      <c r="C1553" s="67"/>
      <c r="D1553" s="67"/>
    </row>
    <row r="1554" spans="2:4" x14ac:dyDescent="0.2">
      <c r="B1554" s="67"/>
      <c r="C1554" s="67"/>
      <c r="D1554" s="67"/>
    </row>
    <row r="1555" spans="2:4" x14ac:dyDescent="0.2">
      <c r="B1555" s="67"/>
      <c r="C1555" s="67"/>
      <c r="D1555" s="67"/>
    </row>
    <row r="1556" spans="2:4" x14ac:dyDescent="0.2">
      <c r="B1556" s="67"/>
      <c r="C1556" s="67"/>
      <c r="D1556" s="67"/>
    </row>
    <row r="1557" spans="2:4" x14ac:dyDescent="0.2">
      <c r="B1557" s="67"/>
      <c r="C1557" s="67"/>
      <c r="D1557" s="67"/>
    </row>
    <row r="1558" spans="2:4" x14ac:dyDescent="0.2">
      <c r="B1558" s="67"/>
      <c r="C1558" s="67"/>
      <c r="D1558" s="67"/>
    </row>
    <row r="1559" spans="2:4" x14ac:dyDescent="0.2">
      <c r="B1559" s="67"/>
      <c r="C1559" s="67"/>
      <c r="D1559" s="67"/>
    </row>
    <row r="1560" spans="2:4" x14ac:dyDescent="0.2">
      <c r="B1560" s="67"/>
      <c r="C1560" s="67"/>
      <c r="D1560" s="67"/>
    </row>
    <row r="1561" spans="2:4" x14ac:dyDescent="0.2">
      <c r="B1561" s="67"/>
      <c r="C1561" s="67"/>
      <c r="D1561" s="67"/>
    </row>
    <row r="1562" spans="2:4" x14ac:dyDescent="0.2">
      <c r="B1562" s="67"/>
      <c r="C1562" s="67"/>
      <c r="D1562" s="67"/>
    </row>
    <row r="1563" spans="2:4" x14ac:dyDescent="0.2">
      <c r="B1563" s="67"/>
      <c r="C1563" s="67"/>
      <c r="D1563" s="67"/>
    </row>
    <row r="1564" spans="2:4" x14ac:dyDescent="0.2">
      <c r="B1564" s="67"/>
      <c r="C1564" s="67"/>
      <c r="D1564" s="67"/>
    </row>
    <row r="1565" spans="2:4" x14ac:dyDescent="0.2">
      <c r="B1565" s="67"/>
      <c r="C1565" s="67"/>
      <c r="D1565" s="67"/>
    </row>
    <row r="1566" spans="2:4" x14ac:dyDescent="0.2">
      <c r="B1566" s="67"/>
      <c r="C1566" s="67"/>
      <c r="D1566" s="67"/>
    </row>
    <row r="1567" spans="2:4" x14ac:dyDescent="0.2">
      <c r="B1567" s="67"/>
      <c r="C1567" s="67"/>
      <c r="D1567" s="67"/>
    </row>
    <row r="1568" spans="2:4" x14ac:dyDescent="0.2">
      <c r="B1568" s="67"/>
      <c r="C1568" s="67"/>
      <c r="D1568" s="67"/>
    </row>
    <row r="1569" spans="2:4" x14ac:dyDescent="0.2">
      <c r="B1569" s="67"/>
      <c r="C1569" s="67"/>
      <c r="D1569" s="67"/>
    </row>
    <row r="1570" spans="2:4" x14ac:dyDescent="0.2">
      <c r="B1570" s="67"/>
      <c r="C1570" s="67"/>
      <c r="D1570" s="67"/>
    </row>
    <row r="1571" spans="2:4" x14ac:dyDescent="0.2">
      <c r="B1571" s="67"/>
      <c r="C1571" s="67"/>
      <c r="D1571" s="67"/>
    </row>
    <row r="1572" spans="2:4" x14ac:dyDescent="0.2">
      <c r="B1572" s="67"/>
      <c r="C1572" s="67"/>
      <c r="D1572" s="67"/>
    </row>
    <row r="1573" spans="2:4" x14ac:dyDescent="0.2">
      <c r="B1573" s="67"/>
      <c r="C1573" s="67"/>
      <c r="D1573" s="67"/>
    </row>
    <row r="1574" spans="2:4" x14ac:dyDescent="0.2">
      <c r="B1574" s="67"/>
      <c r="C1574" s="67"/>
      <c r="D1574" s="67"/>
    </row>
    <row r="1575" spans="2:4" x14ac:dyDescent="0.2">
      <c r="B1575" s="67"/>
      <c r="C1575" s="67"/>
      <c r="D1575" s="67"/>
    </row>
    <row r="1576" spans="2:4" x14ac:dyDescent="0.2">
      <c r="B1576" s="67"/>
      <c r="C1576" s="67"/>
      <c r="D1576" s="67"/>
    </row>
    <row r="1577" spans="2:4" x14ac:dyDescent="0.2">
      <c r="B1577" s="67"/>
      <c r="C1577" s="67"/>
      <c r="D1577" s="67"/>
    </row>
    <row r="1578" spans="2:4" x14ac:dyDescent="0.2">
      <c r="B1578" s="67"/>
      <c r="C1578" s="67"/>
      <c r="D1578" s="67"/>
    </row>
    <row r="1579" spans="2:4" x14ac:dyDescent="0.2">
      <c r="B1579" s="67"/>
      <c r="C1579" s="67"/>
      <c r="D1579" s="67"/>
    </row>
    <row r="1580" spans="2:4" x14ac:dyDescent="0.2">
      <c r="B1580" s="67"/>
      <c r="C1580" s="67"/>
      <c r="D1580" s="67"/>
    </row>
    <row r="1581" spans="2:4" x14ac:dyDescent="0.2">
      <c r="B1581" s="67"/>
      <c r="C1581" s="67"/>
      <c r="D1581" s="67"/>
    </row>
    <row r="1582" spans="2:4" x14ac:dyDescent="0.2">
      <c r="B1582" s="67"/>
      <c r="C1582" s="67"/>
      <c r="D1582" s="67"/>
    </row>
    <row r="1583" spans="2:4" x14ac:dyDescent="0.2">
      <c r="B1583" s="67"/>
      <c r="C1583" s="67"/>
      <c r="D1583" s="67"/>
    </row>
    <row r="1584" spans="2:4" x14ac:dyDescent="0.2">
      <c r="B1584" s="67"/>
      <c r="C1584" s="67"/>
      <c r="D1584" s="67"/>
    </row>
    <row r="1585" spans="2:4" x14ac:dyDescent="0.2">
      <c r="B1585" s="67"/>
      <c r="C1585" s="67"/>
      <c r="D1585" s="67"/>
    </row>
    <row r="1586" spans="2:4" x14ac:dyDescent="0.2">
      <c r="B1586" s="67"/>
      <c r="C1586" s="67"/>
      <c r="D1586" s="67"/>
    </row>
    <row r="1587" spans="2:4" x14ac:dyDescent="0.2">
      <c r="B1587" s="67"/>
      <c r="C1587" s="67"/>
      <c r="D1587" s="67"/>
    </row>
    <row r="1588" spans="2:4" x14ac:dyDescent="0.2">
      <c r="B1588" s="67"/>
      <c r="C1588" s="67"/>
      <c r="D1588" s="67"/>
    </row>
    <row r="1589" spans="2:4" x14ac:dyDescent="0.2">
      <c r="B1589" s="67"/>
      <c r="C1589" s="67"/>
      <c r="D1589" s="67"/>
    </row>
    <row r="1590" spans="2:4" x14ac:dyDescent="0.2">
      <c r="B1590" s="67"/>
      <c r="C1590" s="67"/>
      <c r="D1590" s="67"/>
    </row>
    <row r="1591" spans="2:4" x14ac:dyDescent="0.2">
      <c r="B1591" s="67"/>
      <c r="C1591" s="67"/>
      <c r="D1591" s="67"/>
    </row>
    <row r="1592" spans="2:4" x14ac:dyDescent="0.2">
      <c r="B1592" s="67"/>
      <c r="C1592" s="67"/>
      <c r="D1592" s="67"/>
    </row>
    <row r="1593" spans="2:4" x14ac:dyDescent="0.2">
      <c r="B1593" s="67"/>
      <c r="C1593" s="67"/>
      <c r="D1593" s="67"/>
    </row>
    <row r="1594" spans="2:4" x14ac:dyDescent="0.2">
      <c r="B1594" s="67"/>
      <c r="C1594" s="67"/>
      <c r="D1594" s="67"/>
    </row>
    <row r="1595" spans="2:4" x14ac:dyDescent="0.2">
      <c r="B1595" s="67"/>
      <c r="C1595" s="67"/>
      <c r="D1595" s="67"/>
    </row>
    <row r="1596" spans="2:4" x14ac:dyDescent="0.2">
      <c r="B1596" s="67"/>
      <c r="C1596" s="67"/>
      <c r="D1596" s="67"/>
    </row>
    <row r="1597" spans="2:4" x14ac:dyDescent="0.2">
      <c r="B1597" s="67"/>
      <c r="C1597" s="67"/>
      <c r="D1597" s="67"/>
    </row>
    <row r="1598" spans="2:4" x14ac:dyDescent="0.2">
      <c r="B1598" s="67"/>
      <c r="C1598" s="67"/>
      <c r="D1598" s="67"/>
    </row>
    <row r="1599" spans="2:4" x14ac:dyDescent="0.2">
      <c r="B1599" s="67"/>
      <c r="C1599" s="67"/>
      <c r="D1599" s="67"/>
    </row>
    <row r="1600" spans="2:4" x14ac:dyDescent="0.2">
      <c r="B1600" s="67"/>
      <c r="C1600" s="67"/>
      <c r="D1600" s="67"/>
    </row>
    <row r="1601" spans="2:4" x14ac:dyDescent="0.2">
      <c r="B1601" s="67"/>
      <c r="C1601" s="67"/>
      <c r="D1601" s="67"/>
    </row>
    <row r="1602" spans="2:4" x14ac:dyDescent="0.2">
      <c r="B1602" s="67"/>
      <c r="C1602" s="67"/>
      <c r="D1602" s="67"/>
    </row>
    <row r="1603" spans="2:4" x14ac:dyDescent="0.2">
      <c r="B1603" s="67"/>
      <c r="C1603" s="67"/>
      <c r="D1603" s="67"/>
    </row>
    <row r="1604" spans="2:4" x14ac:dyDescent="0.2">
      <c r="B1604" s="67"/>
      <c r="C1604" s="67"/>
      <c r="D1604" s="67"/>
    </row>
    <row r="1605" spans="2:4" x14ac:dyDescent="0.2">
      <c r="B1605" s="67"/>
      <c r="C1605" s="67"/>
      <c r="D1605" s="67"/>
    </row>
    <row r="1606" spans="2:4" x14ac:dyDescent="0.2">
      <c r="B1606" s="67"/>
      <c r="C1606" s="67"/>
      <c r="D1606" s="67"/>
    </row>
    <row r="1607" spans="2:4" x14ac:dyDescent="0.2">
      <c r="B1607" s="67"/>
      <c r="C1607" s="67"/>
      <c r="D1607" s="67"/>
    </row>
    <row r="1608" spans="2:4" x14ac:dyDescent="0.2">
      <c r="B1608" s="67"/>
      <c r="C1608" s="67"/>
      <c r="D1608" s="67"/>
    </row>
    <row r="1609" spans="2:4" x14ac:dyDescent="0.2">
      <c r="B1609" s="67"/>
      <c r="C1609" s="67"/>
      <c r="D1609" s="67"/>
    </row>
    <row r="1610" spans="2:4" x14ac:dyDescent="0.2">
      <c r="B1610" s="67"/>
      <c r="C1610" s="67"/>
      <c r="D1610" s="67"/>
    </row>
    <row r="1611" spans="2:4" x14ac:dyDescent="0.2">
      <c r="B1611" s="67"/>
      <c r="C1611" s="67"/>
      <c r="D1611" s="67"/>
    </row>
    <row r="1612" spans="2:4" x14ac:dyDescent="0.2">
      <c r="B1612" s="67"/>
      <c r="C1612" s="67"/>
      <c r="D1612" s="67"/>
    </row>
    <row r="1613" spans="2:4" x14ac:dyDescent="0.2">
      <c r="B1613" s="67"/>
      <c r="C1613" s="67"/>
      <c r="D1613" s="67"/>
    </row>
    <row r="1614" spans="2:4" x14ac:dyDescent="0.2">
      <c r="B1614" s="67"/>
      <c r="C1614" s="67"/>
      <c r="D1614" s="67"/>
    </row>
    <row r="1615" spans="2:4" x14ac:dyDescent="0.2">
      <c r="B1615" s="67"/>
      <c r="C1615" s="67"/>
      <c r="D1615" s="67"/>
    </row>
    <row r="1616" spans="2:4" x14ac:dyDescent="0.2">
      <c r="B1616" s="67"/>
      <c r="C1616" s="67"/>
      <c r="D1616" s="67"/>
    </row>
    <row r="1617" spans="2:4" x14ac:dyDescent="0.2">
      <c r="B1617" s="67"/>
      <c r="C1617" s="67"/>
      <c r="D1617" s="67"/>
    </row>
    <row r="1618" spans="2:4" x14ac:dyDescent="0.2">
      <c r="B1618" s="67"/>
      <c r="C1618" s="67"/>
      <c r="D1618" s="67"/>
    </row>
    <row r="1619" spans="2:4" x14ac:dyDescent="0.2">
      <c r="B1619" s="67"/>
      <c r="C1619" s="67"/>
      <c r="D1619" s="67"/>
    </row>
    <row r="1620" spans="2:4" x14ac:dyDescent="0.2">
      <c r="B1620" s="67"/>
      <c r="C1620" s="67"/>
      <c r="D1620" s="67"/>
    </row>
    <row r="1621" spans="2:4" x14ac:dyDescent="0.2">
      <c r="B1621" s="67"/>
      <c r="C1621" s="67"/>
      <c r="D1621" s="67"/>
    </row>
    <row r="1622" spans="2:4" x14ac:dyDescent="0.2">
      <c r="B1622" s="67"/>
      <c r="C1622" s="67"/>
      <c r="D1622" s="67"/>
    </row>
    <row r="1623" spans="2:4" x14ac:dyDescent="0.2">
      <c r="B1623" s="67"/>
      <c r="C1623" s="67"/>
      <c r="D1623" s="67"/>
    </row>
    <row r="1624" spans="2:4" x14ac:dyDescent="0.2">
      <c r="B1624" s="67"/>
      <c r="C1624" s="67"/>
      <c r="D1624" s="67"/>
    </row>
    <row r="1625" spans="2:4" x14ac:dyDescent="0.2">
      <c r="B1625" s="67"/>
      <c r="C1625" s="67"/>
      <c r="D1625" s="67"/>
    </row>
    <row r="1626" spans="2:4" x14ac:dyDescent="0.2">
      <c r="B1626" s="67"/>
      <c r="C1626" s="67"/>
      <c r="D1626" s="67"/>
    </row>
    <row r="1627" spans="2:4" x14ac:dyDescent="0.2">
      <c r="B1627" s="67"/>
      <c r="C1627" s="67"/>
      <c r="D1627" s="67"/>
    </row>
    <row r="1628" spans="2:4" x14ac:dyDescent="0.2">
      <c r="B1628" s="67"/>
      <c r="C1628" s="67"/>
      <c r="D1628" s="67"/>
    </row>
    <row r="1629" spans="2:4" x14ac:dyDescent="0.2">
      <c r="B1629" s="67"/>
      <c r="C1629" s="67"/>
      <c r="D1629" s="67"/>
    </row>
    <row r="1630" spans="2:4" x14ac:dyDescent="0.2">
      <c r="B1630" s="67"/>
      <c r="C1630" s="67"/>
      <c r="D1630" s="67"/>
    </row>
    <row r="1631" spans="2:4" x14ac:dyDescent="0.2">
      <c r="B1631" s="67"/>
      <c r="C1631" s="67"/>
      <c r="D1631" s="67"/>
    </row>
    <row r="1632" spans="2:4" x14ac:dyDescent="0.2">
      <c r="B1632" s="67"/>
      <c r="C1632" s="67"/>
      <c r="D1632" s="67"/>
    </row>
    <row r="1633" spans="2:4" x14ac:dyDescent="0.2">
      <c r="B1633" s="67"/>
      <c r="C1633" s="67"/>
      <c r="D1633" s="67"/>
    </row>
    <row r="1634" spans="2:4" x14ac:dyDescent="0.2">
      <c r="B1634" s="67"/>
      <c r="C1634" s="67"/>
      <c r="D1634" s="67"/>
    </row>
    <row r="1635" spans="2:4" x14ac:dyDescent="0.2">
      <c r="B1635" s="67"/>
      <c r="C1635" s="67"/>
      <c r="D1635" s="67"/>
    </row>
    <row r="1636" spans="2:4" x14ac:dyDescent="0.2">
      <c r="B1636" s="67"/>
      <c r="C1636" s="67"/>
      <c r="D1636" s="67"/>
    </row>
    <row r="1637" spans="2:4" x14ac:dyDescent="0.2">
      <c r="B1637" s="67"/>
      <c r="C1637" s="67"/>
      <c r="D1637" s="67"/>
    </row>
    <row r="1638" spans="2:4" x14ac:dyDescent="0.2">
      <c r="B1638" s="67"/>
      <c r="C1638" s="67"/>
      <c r="D1638" s="67"/>
    </row>
    <row r="1639" spans="2:4" x14ac:dyDescent="0.2">
      <c r="B1639" s="67"/>
      <c r="C1639" s="67"/>
      <c r="D1639" s="67"/>
    </row>
    <row r="1640" spans="2:4" x14ac:dyDescent="0.2">
      <c r="B1640" s="67"/>
      <c r="C1640" s="67"/>
      <c r="D1640" s="67"/>
    </row>
    <row r="1641" spans="2:4" x14ac:dyDescent="0.2">
      <c r="B1641" s="67"/>
      <c r="C1641" s="67"/>
      <c r="D1641" s="67"/>
    </row>
    <row r="1642" spans="2:4" x14ac:dyDescent="0.2">
      <c r="B1642" s="67"/>
      <c r="C1642" s="67"/>
      <c r="D1642" s="67"/>
    </row>
    <row r="1643" spans="2:4" x14ac:dyDescent="0.2">
      <c r="B1643" s="67"/>
      <c r="C1643" s="67"/>
      <c r="D1643" s="67"/>
    </row>
    <row r="1644" spans="2:4" x14ac:dyDescent="0.2">
      <c r="B1644" s="67"/>
      <c r="C1644" s="67"/>
      <c r="D1644" s="67"/>
    </row>
    <row r="1645" spans="2:4" x14ac:dyDescent="0.2">
      <c r="B1645" s="67"/>
      <c r="C1645" s="67"/>
      <c r="D1645" s="67"/>
    </row>
    <row r="1646" spans="2:4" x14ac:dyDescent="0.2">
      <c r="B1646" s="67"/>
      <c r="C1646" s="67"/>
      <c r="D1646" s="67"/>
    </row>
    <row r="1647" spans="2:4" x14ac:dyDescent="0.2">
      <c r="B1647" s="67"/>
      <c r="C1647" s="67"/>
      <c r="D1647" s="67"/>
    </row>
    <row r="1648" spans="2:4" x14ac:dyDescent="0.2">
      <c r="B1648" s="67"/>
      <c r="C1648" s="67"/>
      <c r="D1648" s="67"/>
    </row>
    <row r="1649" spans="2:4" x14ac:dyDescent="0.2">
      <c r="B1649" s="67"/>
      <c r="C1649" s="67"/>
      <c r="D1649" s="67"/>
    </row>
    <row r="1650" spans="2:4" x14ac:dyDescent="0.2">
      <c r="B1650" s="67"/>
      <c r="C1650" s="67"/>
      <c r="D1650" s="67"/>
    </row>
    <row r="1651" spans="2:4" x14ac:dyDescent="0.2">
      <c r="B1651" s="67"/>
      <c r="C1651" s="67"/>
      <c r="D1651" s="67"/>
    </row>
    <row r="1652" spans="2:4" x14ac:dyDescent="0.2">
      <c r="B1652" s="67"/>
      <c r="C1652" s="67"/>
      <c r="D1652" s="67"/>
    </row>
    <row r="1653" spans="2:4" x14ac:dyDescent="0.2">
      <c r="B1653" s="67"/>
      <c r="C1653" s="67"/>
      <c r="D1653" s="67"/>
    </row>
    <row r="1654" spans="2:4" x14ac:dyDescent="0.2">
      <c r="B1654" s="67"/>
      <c r="C1654" s="67"/>
      <c r="D1654" s="67"/>
    </row>
    <row r="1655" spans="2:4" x14ac:dyDescent="0.2">
      <c r="B1655" s="67"/>
      <c r="C1655" s="67"/>
      <c r="D1655" s="67"/>
    </row>
    <row r="1656" spans="2:4" x14ac:dyDescent="0.2">
      <c r="B1656" s="67"/>
      <c r="C1656" s="67"/>
      <c r="D1656" s="67"/>
    </row>
    <row r="1657" spans="2:4" x14ac:dyDescent="0.2">
      <c r="B1657" s="67"/>
      <c r="C1657" s="67"/>
      <c r="D1657" s="67"/>
    </row>
    <row r="1658" spans="2:4" x14ac:dyDescent="0.2">
      <c r="B1658" s="67"/>
      <c r="C1658" s="67"/>
      <c r="D1658" s="67"/>
    </row>
    <row r="1659" spans="2:4" x14ac:dyDescent="0.2">
      <c r="B1659" s="67"/>
      <c r="C1659" s="67"/>
      <c r="D1659" s="67"/>
    </row>
    <row r="1660" spans="2:4" x14ac:dyDescent="0.2">
      <c r="B1660" s="67"/>
      <c r="C1660" s="67"/>
      <c r="D1660" s="67"/>
    </row>
    <row r="1661" spans="2:4" x14ac:dyDescent="0.2">
      <c r="B1661" s="67"/>
      <c r="C1661" s="67"/>
      <c r="D1661" s="67"/>
    </row>
    <row r="1662" spans="2:4" x14ac:dyDescent="0.2">
      <c r="B1662" s="67"/>
      <c r="C1662" s="67"/>
      <c r="D1662" s="67"/>
    </row>
    <row r="1663" spans="2:4" x14ac:dyDescent="0.2">
      <c r="B1663" s="67"/>
      <c r="C1663" s="67"/>
      <c r="D1663" s="67"/>
    </row>
    <row r="1664" spans="2:4" x14ac:dyDescent="0.2">
      <c r="B1664" s="67"/>
      <c r="C1664" s="67"/>
      <c r="D1664" s="67"/>
    </row>
    <row r="1665" spans="2:4" x14ac:dyDescent="0.2">
      <c r="B1665" s="67"/>
      <c r="C1665" s="67"/>
      <c r="D1665" s="67"/>
    </row>
    <row r="1666" spans="2:4" x14ac:dyDescent="0.2">
      <c r="B1666" s="67"/>
      <c r="C1666" s="67"/>
      <c r="D1666" s="67"/>
    </row>
    <row r="1667" spans="2:4" x14ac:dyDescent="0.2">
      <c r="B1667" s="67"/>
      <c r="C1667" s="67"/>
      <c r="D1667" s="67"/>
    </row>
    <row r="1668" spans="2:4" x14ac:dyDescent="0.2">
      <c r="B1668" s="67"/>
      <c r="C1668" s="67"/>
      <c r="D1668" s="67"/>
    </row>
    <row r="1669" spans="2:4" x14ac:dyDescent="0.2">
      <c r="B1669" s="67"/>
      <c r="C1669" s="67"/>
      <c r="D1669" s="67"/>
    </row>
    <row r="1670" spans="2:4" x14ac:dyDescent="0.2">
      <c r="B1670" s="67"/>
      <c r="C1670" s="67"/>
      <c r="D1670" s="67"/>
    </row>
    <row r="1671" spans="2:4" x14ac:dyDescent="0.2">
      <c r="B1671" s="67"/>
      <c r="C1671" s="67"/>
      <c r="D1671" s="67"/>
    </row>
    <row r="1672" spans="2:4" x14ac:dyDescent="0.2">
      <c r="B1672" s="67"/>
      <c r="C1672" s="67"/>
      <c r="D1672" s="67"/>
    </row>
    <row r="1673" spans="2:4" x14ac:dyDescent="0.2">
      <c r="B1673" s="67"/>
      <c r="C1673" s="67"/>
      <c r="D1673" s="67"/>
    </row>
    <row r="1674" spans="2:4" x14ac:dyDescent="0.2">
      <c r="B1674" s="67"/>
      <c r="C1674" s="67"/>
      <c r="D1674" s="67"/>
    </row>
    <row r="1675" spans="2:4" x14ac:dyDescent="0.2">
      <c r="B1675" s="67"/>
      <c r="C1675" s="67"/>
      <c r="D1675" s="67"/>
    </row>
    <row r="1676" spans="2:4" x14ac:dyDescent="0.2">
      <c r="B1676" s="67"/>
      <c r="C1676" s="67"/>
      <c r="D1676" s="67"/>
    </row>
    <row r="1677" spans="2:4" x14ac:dyDescent="0.2">
      <c r="B1677" s="67"/>
      <c r="C1677" s="67"/>
      <c r="D1677" s="67"/>
    </row>
    <row r="1678" spans="2:4" x14ac:dyDescent="0.2">
      <c r="B1678" s="67"/>
      <c r="C1678" s="67"/>
      <c r="D1678" s="67"/>
    </row>
    <row r="1679" spans="2:4" x14ac:dyDescent="0.2">
      <c r="B1679" s="67"/>
      <c r="C1679" s="67"/>
      <c r="D1679" s="67"/>
    </row>
    <row r="1680" spans="2:4" x14ac:dyDescent="0.2">
      <c r="B1680" s="67"/>
      <c r="C1680" s="67"/>
      <c r="D1680" s="67"/>
    </row>
    <row r="1681" spans="2:4" x14ac:dyDescent="0.2">
      <c r="B1681" s="67"/>
      <c r="C1681" s="67"/>
      <c r="D1681" s="67"/>
    </row>
    <row r="1682" spans="2:4" x14ac:dyDescent="0.2">
      <c r="B1682" s="67"/>
      <c r="C1682" s="67"/>
      <c r="D1682" s="67"/>
    </row>
    <row r="1683" spans="2:4" x14ac:dyDescent="0.2">
      <c r="B1683" s="67"/>
      <c r="C1683" s="67"/>
      <c r="D1683" s="67"/>
    </row>
    <row r="1684" spans="2:4" x14ac:dyDescent="0.2">
      <c r="B1684" s="67"/>
      <c r="C1684" s="67"/>
      <c r="D1684" s="67"/>
    </row>
    <row r="1685" spans="2:4" x14ac:dyDescent="0.2">
      <c r="B1685" s="67"/>
      <c r="C1685" s="67"/>
      <c r="D1685" s="67"/>
    </row>
    <row r="1686" spans="2:4" x14ac:dyDescent="0.2">
      <c r="B1686" s="67"/>
      <c r="C1686" s="67"/>
      <c r="D1686" s="67"/>
    </row>
    <row r="1687" spans="2:4" x14ac:dyDescent="0.2">
      <c r="B1687" s="67"/>
      <c r="C1687" s="67"/>
      <c r="D1687" s="67"/>
    </row>
    <row r="1688" spans="2:4" x14ac:dyDescent="0.2">
      <c r="B1688" s="67"/>
      <c r="C1688" s="67"/>
      <c r="D1688" s="67"/>
    </row>
    <row r="1689" spans="2:4" x14ac:dyDescent="0.2">
      <c r="B1689" s="67"/>
      <c r="C1689" s="67"/>
      <c r="D1689" s="67"/>
    </row>
    <row r="1690" spans="2:4" x14ac:dyDescent="0.2">
      <c r="B1690" s="67"/>
      <c r="C1690" s="67"/>
      <c r="D1690" s="67"/>
    </row>
    <row r="1691" spans="2:4" x14ac:dyDescent="0.2">
      <c r="B1691" s="67"/>
      <c r="C1691" s="67"/>
      <c r="D1691" s="67"/>
    </row>
    <row r="1692" spans="2:4" x14ac:dyDescent="0.2">
      <c r="B1692" s="67"/>
      <c r="C1692" s="67"/>
      <c r="D1692" s="67"/>
    </row>
    <row r="1693" spans="2:4" x14ac:dyDescent="0.2">
      <c r="B1693" s="67"/>
      <c r="C1693" s="67"/>
      <c r="D1693" s="67"/>
    </row>
    <row r="1694" spans="2:4" x14ac:dyDescent="0.2">
      <c r="B1694" s="67"/>
      <c r="C1694" s="67"/>
      <c r="D1694" s="67"/>
    </row>
    <row r="1695" spans="2:4" x14ac:dyDescent="0.2">
      <c r="B1695" s="67"/>
      <c r="C1695" s="67"/>
      <c r="D1695" s="67"/>
    </row>
    <row r="1696" spans="2:4" x14ac:dyDescent="0.2">
      <c r="B1696" s="67"/>
      <c r="C1696" s="67"/>
      <c r="D1696" s="67"/>
    </row>
    <row r="1697" spans="2:4" x14ac:dyDescent="0.2">
      <c r="B1697" s="67"/>
      <c r="C1697" s="67"/>
      <c r="D1697" s="67"/>
    </row>
    <row r="1698" spans="2:4" x14ac:dyDescent="0.2">
      <c r="B1698" s="67"/>
      <c r="C1698" s="67"/>
      <c r="D1698" s="67"/>
    </row>
    <row r="1699" spans="2:4" x14ac:dyDescent="0.2">
      <c r="B1699" s="67"/>
      <c r="C1699" s="67"/>
      <c r="D1699" s="67"/>
    </row>
    <row r="1700" spans="2:4" x14ac:dyDescent="0.2">
      <c r="B1700" s="67"/>
      <c r="C1700" s="67"/>
      <c r="D1700" s="67"/>
    </row>
    <row r="1701" spans="2:4" x14ac:dyDescent="0.2">
      <c r="B1701" s="67"/>
      <c r="C1701" s="67"/>
      <c r="D1701" s="67"/>
    </row>
    <row r="1702" spans="2:4" x14ac:dyDescent="0.2">
      <c r="B1702" s="67"/>
      <c r="C1702" s="67"/>
      <c r="D1702" s="67"/>
    </row>
    <row r="1703" spans="2:4" x14ac:dyDescent="0.2">
      <c r="B1703" s="67"/>
      <c r="C1703" s="67"/>
      <c r="D1703" s="67"/>
    </row>
    <row r="1704" spans="2:4" x14ac:dyDescent="0.2">
      <c r="B1704" s="67"/>
      <c r="C1704" s="67"/>
      <c r="D1704" s="67"/>
    </row>
    <row r="1705" spans="2:4" x14ac:dyDescent="0.2">
      <c r="B1705" s="67"/>
      <c r="C1705" s="67"/>
      <c r="D1705" s="67"/>
    </row>
    <row r="1706" spans="2:4" x14ac:dyDescent="0.2">
      <c r="B1706" s="67"/>
      <c r="C1706" s="67"/>
      <c r="D1706" s="67"/>
    </row>
    <row r="1707" spans="2:4" x14ac:dyDescent="0.2">
      <c r="B1707" s="67"/>
      <c r="C1707" s="67"/>
      <c r="D1707" s="67"/>
    </row>
    <row r="1708" spans="2:4" x14ac:dyDescent="0.2">
      <c r="B1708" s="67"/>
      <c r="C1708" s="67"/>
      <c r="D1708" s="67"/>
    </row>
    <row r="1709" spans="2:4" x14ac:dyDescent="0.2">
      <c r="B1709" s="67"/>
      <c r="C1709" s="67"/>
      <c r="D1709" s="67"/>
    </row>
    <row r="1710" spans="2:4" x14ac:dyDescent="0.2">
      <c r="B1710" s="67"/>
      <c r="C1710" s="67"/>
      <c r="D1710" s="67"/>
    </row>
    <row r="1711" spans="2:4" x14ac:dyDescent="0.2">
      <c r="B1711" s="67"/>
      <c r="C1711" s="67"/>
      <c r="D1711" s="67"/>
    </row>
    <row r="1712" spans="2:4" x14ac:dyDescent="0.2">
      <c r="B1712" s="67"/>
      <c r="C1712" s="67"/>
      <c r="D1712" s="67"/>
    </row>
    <row r="1713" spans="2:4" x14ac:dyDescent="0.2">
      <c r="B1713" s="67"/>
      <c r="C1713" s="67"/>
      <c r="D1713" s="67"/>
    </row>
    <row r="1714" spans="2:4" x14ac:dyDescent="0.2">
      <c r="B1714" s="67"/>
      <c r="C1714" s="67"/>
      <c r="D1714" s="67"/>
    </row>
    <row r="1715" spans="2:4" x14ac:dyDescent="0.2">
      <c r="B1715" s="67"/>
      <c r="C1715" s="67"/>
      <c r="D1715" s="67"/>
    </row>
    <row r="1716" spans="2:4" x14ac:dyDescent="0.2">
      <c r="B1716" s="67"/>
      <c r="C1716" s="67"/>
      <c r="D1716" s="67"/>
    </row>
    <row r="1717" spans="2:4" x14ac:dyDescent="0.2">
      <c r="B1717" s="67"/>
      <c r="C1717" s="67"/>
      <c r="D1717" s="67"/>
    </row>
    <row r="1718" spans="2:4" x14ac:dyDescent="0.2">
      <c r="B1718" s="67"/>
      <c r="C1718" s="67"/>
      <c r="D1718" s="67"/>
    </row>
    <row r="1719" spans="2:4" x14ac:dyDescent="0.2">
      <c r="B1719" s="67"/>
      <c r="C1719" s="67"/>
      <c r="D1719" s="67"/>
    </row>
    <row r="1720" spans="2:4" x14ac:dyDescent="0.2">
      <c r="B1720" s="67"/>
      <c r="C1720" s="67"/>
      <c r="D1720" s="67"/>
    </row>
    <row r="1721" spans="2:4" x14ac:dyDescent="0.2">
      <c r="B1721" s="67"/>
      <c r="C1721" s="67"/>
      <c r="D1721" s="67"/>
    </row>
    <row r="1722" spans="2:4" x14ac:dyDescent="0.2">
      <c r="B1722" s="67"/>
      <c r="C1722" s="67"/>
      <c r="D1722" s="67"/>
    </row>
    <row r="1723" spans="2:4" x14ac:dyDescent="0.2">
      <c r="B1723" s="67"/>
      <c r="C1723" s="67"/>
      <c r="D1723" s="67"/>
    </row>
    <row r="1724" spans="2:4" x14ac:dyDescent="0.2">
      <c r="B1724" s="67"/>
      <c r="C1724" s="67"/>
      <c r="D1724" s="67"/>
    </row>
    <row r="1725" spans="2:4" x14ac:dyDescent="0.2">
      <c r="B1725" s="67"/>
      <c r="C1725" s="67"/>
      <c r="D1725" s="67"/>
    </row>
    <row r="1726" spans="2:4" x14ac:dyDescent="0.2">
      <c r="B1726" s="67"/>
      <c r="C1726" s="67"/>
      <c r="D1726" s="67"/>
    </row>
    <row r="1727" spans="2:4" x14ac:dyDescent="0.2">
      <c r="B1727" s="67"/>
      <c r="C1727" s="67"/>
      <c r="D1727" s="67"/>
    </row>
    <row r="1728" spans="2:4" x14ac:dyDescent="0.2">
      <c r="B1728" s="67"/>
      <c r="C1728" s="67"/>
      <c r="D1728" s="67"/>
    </row>
    <row r="1729" spans="2:4" x14ac:dyDescent="0.2">
      <c r="B1729" s="67"/>
      <c r="C1729" s="67"/>
      <c r="D1729" s="67"/>
    </row>
    <row r="1730" spans="2:4" x14ac:dyDescent="0.2">
      <c r="B1730" s="67"/>
      <c r="C1730" s="67"/>
      <c r="D1730" s="67"/>
    </row>
    <row r="1731" spans="2:4" x14ac:dyDescent="0.2">
      <c r="B1731" s="67"/>
      <c r="C1731" s="67"/>
      <c r="D1731" s="67"/>
    </row>
    <row r="1732" spans="2:4" x14ac:dyDescent="0.2">
      <c r="B1732" s="67"/>
      <c r="C1732" s="67"/>
      <c r="D1732" s="67"/>
    </row>
    <row r="1733" spans="2:4" x14ac:dyDescent="0.2">
      <c r="B1733" s="67"/>
      <c r="C1733" s="67"/>
      <c r="D1733" s="67"/>
    </row>
    <row r="1734" spans="2:4" x14ac:dyDescent="0.2">
      <c r="B1734" s="67"/>
      <c r="C1734" s="67"/>
      <c r="D1734" s="67"/>
    </row>
    <row r="1735" spans="2:4" x14ac:dyDescent="0.2">
      <c r="B1735" s="67"/>
      <c r="C1735" s="67"/>
      <c r="D1735" s="67"/>
    </row>
    <row r="1736" spans="2:4" x14ac:dyDescent="0.2">
      <c r="B1736" s="67"/>
      <c r="C1736" s="67"/>
      <c r="D1736" s="67"/>
    </row>
    <row r="1737" spans="2:4" x14ac:dyDescent="0.2">
      <c r="B1737" s="67"/>
      <c r="C1737" s="67"/>
      <c r="D1737" s="67"/>
    </row>
    <row r="1738" spans="2:4" x14ac:dyDescent="0.2">
      <c r="B1738" s="67"/>
      <c r="C1738" s="67"/>
      <c r="D1738" s="67"/>
    </row>
    <row r="1739" spans="2:4" x14ac:dyDescent="0.2">
      <c r="B1739" s="67"/>
      <c r="C1739" s="67"/>
      <c r="D1739" s="67"/>
    </row>
    <row r="1740" spans="2:4" x14ac:dyDescent="0.2">
      <c r="B1740" s="67"/>
      <c r="C1740" s="67"/>
      <c r="D1740" s="67"/>
    </row>
    <row r="1741" spans="2:4" x14ac:dyDescent="0.2">
      <c r="B1741" s="67"/>
      <c r="C1741" s="67"/>
      <c r="D1741" s="67"/>
    </row>
    <row r="1742" spans="2:4" x14ac:dyDescent="0.2">
      <c r="B1742" s="67"/>
      <c r="C1742" s="67"/>
      <c r="D1742" s="67"/>
    </row>
    <row r="1743" spans="2:4" x14ac:dyDescent="0.2">
      <c r="B1743" s="67"/>
      <c r="C1743" s="67"/>
      <c r="D1743" s="67"/>
    </row>
    <row r="1744" spans="2:4" x14ac:dyDescent="0.2">
      <c r="B1744" s="67"/>
      <c r="C1744" s="67"/>
      <c r="D1744" s="67"/>
    </row>
    <row r="1745" spans="2:4" x14ac:dyDescent="0.2">
      <c r="B1745" s="67"/>
      <c r="C1745" s="67"/>
      <c r="D1745" s="67"/>
    </row>
    <row r="1746" spans="2:4" x14ac:dyDescent="0.2">
      <c r="B1746" s="67"/>
      <c r="C1746" s="67"/>
      <c r="D1746" s="67"/>
    </row>
    <row r="1747" spans="2:4" x14ac:dyDescent="0.2">
      <c r="B1747" s="67"/>
      <c r="C1747" s="67"/>
      <c r="D1747" s="67"/>
    </row>
    <row r="1748" spans="2:4" x14ac:dyDescent="0.2">
      <c r="B1748" s="67"/>
      <c r="C1748" s="67"/>
      <c r="D1748" s="67"/>
    </row>
    <row r="1749" spans="2:4" x14ac:dyDescent="0.2">
      <c r="B1749" s="67"/>
      <c r="C1749" s="67"/>
      <c r="D1749" s="67"/>
    </row>
    <row r="1750" spans="2:4" x14ac:dyDescent="0.2">
      <c r="B1750" s="67"/>
      <c r="C1750" s="67"/>
      <c r="D1750" s="67"/>
    </row>
    <row r="1751" spans="2:4" x14ac:dyDescent="0.2">
      <c r="B1751" s="67"/>
      <c r="C1751" s="67"/>
      <c r="D1751" s="67"/>
    </row>
    <row r="1752" spans="2:4" x14ac:dyDescent="0.2">
      <c r="B1752" s="67"/>
      <c r="C1752" s="67"/>
      <c r="D1752" s="67"/>
    </row>
    <row r="1753" spans="2:4" x14ac:dyDescent="0.2">
      <c r="B1753" s="67"/>
      <c r="C1753" s="67"/>
      <c r="D1753" s="67"/>
    </row>
    <row r="1754" spans="2:4" x14ac:dyDescent="0.2">
      <c r="B1754" s="67"/>
      <c r="C1754" s="67"/>
      <c r="D1754" s="67"/>
    </row>
    <row r="1755" spans="2:4" x14ac:dyDescent="0.2">
      <c r="B1755" s="67"/>
      <c r="C1755" s="67"/>
      <c r="D1755" s="67"/>
    </row>
    <row r="1756" spans="2:4" x14ac:dyDescent="0.2">
      <c r="B1756" s="67"/>
      <c r="C1756" s="67"/>
      <c r="D1756" s="67"/>
    </row>
    <row r="1757" spans="2:4" x14ac:dyDescent="0.2">
      <c r="B1757" s="67"/>
      <c r="C1757" s="67"/>
      <c r="D1757" s="67"/>
    </row>
    <row r="1758" spans="2:4" x14ac:dyDescent="0.2">
      <c r="B1758" s="67"/>
      <c r="C1758" s="67"/>
      <c r="D1758" s="67"/>
    </row>
    <row r="1759" spans="2:4" x14ac:dyDescent="0.2">
      <c r="B1759" s="67"/>
      <c r="C1759" s="67"/>
      <c r="D1759" s="67"/>
    </row>
    <row r="1760" spans="2:4" x14ac:dyDescent="0.2">
      <c r="B1760" s="67"/>
      <c r="C1760" s="67"/>
      <c r="D1760" s="67"/>
    </row>
    <row r="1761" spans="2:4" x14ac:dyDescent="0.2">
      <c r="B1761" s="67"/>
      <c r="C1761" s="67"/>
      <c r="D1761" s="67"/>
    </row>
    <row r="1762" spans="2:4" x14ac:dyDescent="0.2">
      <c r="B1762" s="67"/>
      <c r="C1762" s="67"/>
      <c r="D1762" s="67"/>
    </row>
    <row r="1763" spans="2:4" x14ac:dyDescent="0.2">
      <c r="B1763" s="67"/>
      <c r="C1763" s="67"/>
      <c r="D1763" s="67"/>
    </row>
    <row r="1764" spans="2:4" x14ac:dyDescent="0.2">
      <c r="B1764" s="67"/>
      <c r="C1764" s="67"/>
      <c r="D1764" s="67"/>
    </row>
    <row r="1765" spans="2:4" x14ac:dyDescent="0.2">
      <c r="B1765" s="67"/>
      <c r="C1765" s="67"/>
      <c r="D1765" s="67"/>
    </row>
    <row r="1766" spans="2:4" x14ac:dyDescent="0.2">
      <c r="B1766" s="67"/>
      <c r="C1766" s="67"/>
      <c r="D1766" s="67"/>
    </row>
    <row r="1767" spans="2:4" x14ac:dyDescent="0.2">
      <c r="B1767" s="67"/>
      <c r="C1767" s="67"/>
      <c r="D1767" s="67"/>
    </row>
    <row r="1768" spans="2:4" x14ac:dyDescent="0.2">
      <c r="B1768" s="67"/>
      <c r="C1768" s="67"/>
      <c r="D1768" s="67"/>
    </row>
    <row r="1769" spans="2:4" x14ac:dyDescent="0.2">
      <c r="B1769" s="67"/>
      <c r="C1769" s="67"/>
      <c r="D1769" s="67"/>
    </row>
    <row r="1770" spans="2:4" x14ac:dyDescent="0.2">
      <c r="B1770" s="67"/>
      <c r="C1770" s="67"/>
      <c r="D1770" s="67"/>
    </row>
    <row r="1771" spans="2:4" x14ac:dyDescent="0.2">
      <c r="B1771" s="67"/>
      <c r="C1771" s="67"/>
      <c r="D1771" s="67"/>
    </row>
    <row r="1772" spans="2:4" x14ac:dyDescent="0.2">
      <c r="B1772" s="67"/>
      <c r="C1772" s="67"/>
      <c r="D1772" s="67"/>
    </row>
    <row r="1773" spans="2:4" x14ac:dyDescent="0.2">
      <c r="B1773" s="67"/>
      <c r="C1773" s="67"/>
      <c r="D1773" s="67"/>
    </row>
    <row r="1774" spans="2:4" x14ac:dyDescent="0.2">
      <c r="B1774" s="67"/>
      <c r="C1774" s="67"/>
      <c r="D1774" s="67"/>
    </row>
    <row r="1775" spans="2:4" x14ac:dyDescent="0.2">
      <c r="B1775" s="67"/>
      <c r="C1775" s="67"/>
      <c r="D1775" s="67"/>
    </row>
    <row r="1776" spans="2:4" x14ac:dyDescent="0.2">
      <c r="B1776" s="67"/>
      <c r="C1776" s="67"/>
      <c r="D1776" s="67"/>
    </row>
    <row r="1777" spans="2:4" x14ac:dyDescent="0.2">
      <c r="B1777" s="67"/>
      <c r="C1777" s="67"/>
      <c r="D1777" s="67"/>
    </row>
    <row r="1778" spans="2:4" x14ac:dyDescent="0.2">
      <c r="B1778" s="67"/>
      <c r="C1778" s="67"/>
      <c r="D1778" s="67"/>
    </row>
    <row r="1779" spans="2:4" x14ac:dyDescent="0.2">
      <c r="B1779" s="67"/>
      <c r="C1779" s="67"/>
      <c r="D1779" s="67"/>
    </row>
    <row r="1780" spans="2:4" x14ac:dyDescent="0.2">
      <c r="B1780" s="67"/>
      <c r="C1780" s="67"/>
      <c r="D1780" s="67"/>
    </row>
    <row r="1781" spans="2:4" x14ac:dyDescent="0.2">
      <c r="B1781" s="67"/>
      <c r="C1781" s="67"/>
      <c r="D1781" s="67"/>
    </row>
    <row r="1782" spans="2:4" x14ac:dyDescent="0.2">
      <c r="B1782" s="67"/>
      <c r="C1782" s="67"/>
      <c r="D1782" s="67"/>
    </row>
    <row r="1783" spans="2:4" x14ac:dyDescent="0.2">
      <c r="B1783" s="67"/>
      <c r="C1783" s="67"/>
      <c r="D1783" s="67"/>
    </row>
    <row r="1784" spans="2:4" x14ac:dyDescent="0.2">
      <c r="B1784" s="67"/>
      <c r="C1784" s="67"/>
      <c r="D1784" s="67"/>
    </row>
    <row r="1785" spans="2:4" x14ac:dyDescent="0.2">
      <c r="B1785" s="67"/>
      <c r="C1785" s="67"/>
      <c r="D1785" s="67"/>
    </row>
    <row r="1786" spans="2:4" x14ac:dyDescent="0.2">
      <c r="B1786" s="67"/>
      <c r="C1786" s="67"/>
      <c r="D1786" s="67"/>
    </row>
    <row r="1787" spans="2:4" x14ac:dyDescent="0.2">
      <c r="B1787" s="67"/>
      <c r="C1787" s="67"/>
      <c r="D1787" s="67"/>
    </row>
    <row r="1788" spans="2:4" x14ac:dyDescent="0.2">
      <c r="B1788" s="67"/>
      <c r="C1788" s="67"/>
      <c r="D1788" s="67"/>
    </row>
    <row r="1789" spans="2:4" x14ac:dyDescent="0.2">
      <c r="B1789" s="67"/>
      <c r="C1789" s="67"/>
      <c r="D1789" s="67"/>
    </row>
    <row r="1790" spans="2:4" x14ac:dyDescent="0.2">
      <c r="B1790" s="67"/>
      <c r="C1790" s="67"/>
      <c r="D1790" s="67"/>
    </row>
    <row r="1791" spans="2:4" x14ac:dyDescent="0.2">
      <c r="B1791" s="67"/>
      <c r="C1791" s="67"/>
      <c r="D1791" s="67"/>
    </row>
    <row r="1792" spans="2:4" x14ac:dyDescent="0.2">
      <c r="B1792" s="67"/>
      <c r="C1792" s="67"/>
      <c r="D1792" s="67"/>
    </row>
    <row r="1793" spans="2:4" x14ac:dyDescent="0.2">
      <c r="B1793" s="67"/>
      <c r="C1793" s="67"/>
      <c r="D1793" s="67"/>
    </row>
    <row r="1794" spans="2:4" x14ac:dyDescent="0.2">
      <c r="B1794" s="67"/>
      <c r="C1794" s="67"/>
      <c r="D1794" s="67"/>
    </row>
    <row r="1795" spans="2:4" x14ac:dyDescent="0.2">
      <c r="B1795" s="67"/>
      <c r="C1795" s="67"/>
      <c r="D1795" s="67"/>
    </row>
    <row r="1796" spans="2:4" x14ac:dyDescent="0.2">
      <c r="B1796" s="67"/>
      <c r="C1796" s="67"/>
      <c r="D1796" s="67"/>
    </row>
    <row r="1797" spans="2:4" x14ac:dyDescent="0.2">
      <c r="B1797" s="67"/>
      <c r="C1797" s="67"/>
      <c r="D1797" s="67"/>
    </row>
    <row r="1798" spans="2:4" x14ac:dyDescent="0.2">
      <c r="B1798" s="67"/>
      <c r="C1798" s="67"/>
      <c r="D1798" s="67"/>
    </row>
    <row r="1799" spans="2:4" x14ac:dyDescent="0.2">
      <c r="B1799" s="67"/>
      <c r="C1799" s="67"/>
      <c r="D1799" s="67"/>
    </row>
    <row r="1800" spans="2:4" x14ac:dyDescent="0.2">
      <c r="B1800" s="67"/>
      <c r="C1800" s="67"/>
      <c r="D1800" s="67"/>
    </row>
    <row r="1801" spans="2:4" x14ac:dyDescent="0.2">
      <c r="B1801" s="67"/>
      <c r="C1801" s="67"/>
      <c r="D1801" s="67"/>
    </row>
    <row r="1802" spans="2:4" x14ac:dyDescent="0.2">
      <c r="B1802" s="67"/>
      <c r="C1802" s="67"/>
      <c r="D1802" s="67"/>
    </row>
    <row r="1803" spans="2:4" x14ac:dyDescent="0.2">
      <c r="B1803" s="67"/>
      <c r="C1803" s="67"/>
      <c r="D1803" s="67"/>
    </row>
    <row r="1804" spans="2:4" x14ac:dyDescent="0.2">
      <c r="B1804" s="67"/>
      <c r="C1804" s="67"/>
      <c r="D1804" s="67"/>
    </row>
    <row r="1805" spans="2:4" x14ac:dyDescent="0.2">
      <c r="B1805" s="67"/>
      <c r="C1805" s="67"/>
      <c r="D1805" s="67"/>
    </row>
    <row r="1806" spans="2:4" x14ac:dyDescent="0.2">
      <c r="B1806" s="67"/>
      <c r="C1806" s="67"/>
      <c r="D1806" s="67"/>
    </row>
    <row r="1807" spans="2:4" x14ac:dyDescent="0.2">
      <c r="B1807" s="67"/>
      <c r="C1807" s="67"/>
      <c r="D1807" s="67"/>
    </row>
    <row r="1808" spans="2:4" x14ac:dyDescent="0.2">
      <c r="B1808" s="67"/>
      <c r="C1808" s="67"/>
      <c r="D1808" s="67"/>
    </row>
    <row r="1809" spans="2:4" x14ac:dyDescent="0.2">
      <c r="B1809" s="67"/>
      <c r="C1809" s="67"/>
      <c r="D1809" s="67"/>
    </row>
    <row r="1810" spans="2:4" x14ac:dyDescent="0.2">
      <c r="B1810" s="67"/>
      <c r="C1810" s="67"/>
      <c r="D1810" s="67"/>
    </row>
    <row r="1811" spans="2:4" x14ac:dyDescent="0.2">
      <c r="B1811" s="67"/>
      <c r="C1811" s="67"/>
      <c r="D1811" s="67"/>
    </row>
    <row r="1812" spans="2:4" x14ac:dyDescent="0.2">
      <c r="B1812" s="67"/>
      <c r="C1812" s="67"/>
      <c r="D1812" s="67"/>
    </row>
    <row r="1813" spans="2:4" x14ac:dyDescent="0.2">
      <c r="B1813" s="67"/>
      <c r="C1813" s="67"/>
      <c r="D1813" s="67"/>
    </row>
    <row r="1814" spans="2:4" x14ac:dyDescent="0.2">
      <c r="B1814" s="67"/>
      <c r="C1814" s="67"/>
      <c r="D1814" s="67"/>
    </row>
    <row r="1815" spans="2:4" x14ac:dyDescent="0.2">
      <c r="B1815" s="67"/>
      <c r="C1815" s="67"/>
      <c r="D1815" s="67"/>
    </row>
    <row r="1816" spans="2:4" x14ac:dyDescent="0.2">
      <c r="B1816" s="67"/>
      <c r="C1816" s="67"/>
      <c r="D1816" s="67"/>
    </row>
    <row r="1817" spans="2:4" x14ac:dyDescent="0.2">
      <c r="B1817" s="67"/>
      <c r="C1817" s="67"/>
      <c r="D1817" s="67"/>
    </row>
    <row r="1818" spans="2:4" x14ac:dyDescent="0.2">
      <c r="B1818" s="67"/>
      <c r="C1818" s="67"/>
      <c r="D1818" s="67"/>
    </row>
    <row r="1819" spans="2:4" x14ac:dyDescent="0.2">
      <c r="B1819" s="67"/>
      <c r="C1819" s="67"/>
      <c r="D1819" s="67"/>
    </row>
    <row r="1820" spans="2:4" x14ac:dyDescent="0.2">
      <c r="B1820" s="67"/>
      <c r="C1820" s="67"/>
      <c r="D1820" s="67"/>
    </row>
    <row r="1821" spans="2:4" x14ac:dyDescent="0.2">
      <c r="B1821" s="67"/>
      <c r="C1821" s="67"/>
      <c r="D1821" s="67"/>
    </row>
    <row r="1822" spans="2:4" x14ac:dyDescent="0.2">
      <c r="B1822" s="67"/>
      <c r="C1822" s="67"/>
      <c r="D1822" s="67"/>
    </row>
    <row r="1823" spans="2:4" x14ac:dyDescent="0.2">
      <c r="B1823" s="67"/>
      <c r="C1823" s="67"/>
      <c r="D1823" s="67"/>
    </row>
    <row r="1824" spans="2:4" x14ac:dyDescent="0.2">
      <c r="B1824" s="67"/>
      <c r="C1824" s="67"/>
      <c r="D1824" s="67"/>
    </row>
    <row r="1825" spans="2:4" x14ac:dyDescent="0.2">
      <c r="B1825" s="67"/>
      <c r="C1825" s="67"/>
      <c r="D1825" s="67"/>
    </row>
    <row r="1826" spans="2:4" x14ac:dyDescent="0.2">
      <c r="B1826" s="67"/>
      <c r="C1826" s="67"/>
      <c r="D1826" s="67"/>
    </row>
    <row r="1827" spans="2:4" x14ac:dyDescent="0.2">
      <c r="B1827" s="67"/>
      <c r="C1827" s="67"/>
      <c r="D1827" s="67"/>
    </row>
    <row r="1828" spans="2:4" x14ac:dyDescent="0.2">
      <c r="B1828" s="67"/>
      <c r="C1828" s="67"/>
      <c r="D1828" s="67"/>
    </row>
    <row r="1829" spans="2:4" x14ac:dyDescent="0.2">
      <c r="B1829" s="67"/>
      <c r="C1829" s="67"/>
      <c r="D1829" s="67"/>
    </row>
    <row r="1830" spans="2:4" x14ac:dyDescent="0.2">
      <c r="B1830" s="67"/>
      <c r="C1830" s="67"/>
      <c r="D1830" s="67"/>
    </row>
    <row r="1831" spans="2:4" x14ac:dyDescent="0.2">
      <c r="B1831" s="67"/>
      <c r="C1831" s="67"/>
      <c r="D1831" s="67"/>
    </row>
    <row r="1832" spans="2:4" x14ac:dyDescent="0.2">
      <c r="B1832" s="67"/>
      <c r="C1832" s="67"/>
      <c r="D1832" s="67"/>
    </row>
    <row r="1833" spans="2:4" x14ac:dyDescent="0.2">
      <c r="B1833" s="67"/>
      <c r="C1833" s="67"/>
      <c r="D1833" s="67"/>
    </row>
    <row r="1834" spans="2:4" x14ac:dyDescent="0.2">
      <c r="B1834" s="67"/>
      <c r="C1834" s="67"/>
      <c r="D1834" s="67"/>
    </row>
    <row r="1835" spans="2:4" x14ac:dyDescent="0.2">
      <c r="B1835" s="67"/>
      <c r="C1835" s="67"/>
      <c r="D1835" s="67"/>
    </row>
    <row r="1836" spans="2:4" x14ac:dyDescent="0.2">
      <c r="B1836" s="67"/>
      <c r="C1836" s="67"/>
      <c r="D1836" s="67"/>
    </row>
    <row r="1837" spans="2:4" x14ac:dyDescent="0.2">
      <c r="B1837" s="67"/>
      <c r="C1837" s="67"/>
      <c r="D1837" s="67"/>
    </row>
    <row r="1838" spans="2:4" x14ac:dyDescent="0.2">
      <c r="B1838" s="67"/>
      <c r="C1838" s="67"/>
      <c r="D1838" s="67"/>
    </row>
    <row r="1839" spans="2:4" x14ac:dyDescent="0.2">
      <c r="B1839" s="67"/>
      <c r="C1839" s="67"/>
      <c r="D1839" s="67"/>
    </row>
    <row r="1840" spans="2:4" x14ac:dyDescent="0.2">
      <c r="B1840" s="67"/>
      <c r="C1840" s="67"/>
      <c r="D1840" s="67"/>
    </row>
    <row r="1841" spans="2:4" x14ac:dyDescent="0.2">
      <c r="B1841" s="67"/>
      <c r="C1841" s="67"/>
      <c r="D1841" s="67"/>
    </row>
    <row r="1842" spans="2:4" x14ac:dyDescent="0.2">
      <c r="B1842" s="67"/>
      <c r="C1842" s="67"/>
      <c r="D1842" s="67"/>
    </row>
    <row r="1843" spans="2:4" x14ac:dyDescent="0.2">
      <c r="B1843" s="67"/>
      <c r="C1843" s="67"/>
      <c r="D1843" s="67"/>
    </row>
    <row r="1844" spans="2:4" x14ac:dyDescent="0.2">
      <c r="B1844" s="67"/>
      <c r="C1844" s="67"/>
      <c r="D1844" s="67"/>
    </row>
    <row r="1845" spans="2:4" x14ac:dyDescent="0.2">
      <c r="B1845" s="67"/>
      <c r="C1845" s="67"/>
      <c r="D1845" s="67"/>
    </row>
    <row r="1846" spans="2:4" x14ac:dyDescent="0.2">
      <c r="B1846" s="67"/>
      <c r="C1846" s="67"/>
      <c r="D1846" s="67"/>
    </row>
    <row r="1847" spans="2:4" x14ac:dyDescent="0.2">
      <c r="B1847" s="67"/>
      <c r="C1847" s="67"/>
      <c r="D1847" s="67"/>
    </row>
    <row r="1848" spans="2:4" x14ac:dyDescent="0.2">
      <c r="B1848" s="67"/>
      <c r="C1848" s="67"/>
      <c r="D1848" s="67"/>
    </row>
    <row r="1849" spans="2:4" x14ac:dyDescent="0.2">
      <c r="B1849" s="67"/>
      <c r="C1849" s="67"/>
      <c r="D1849" s="67"/>
    </row>
    <row r="1850" spans="2:4" x14ac:dyDescent="0.2">
      <c r="B1850" s="67"/>
      <c r="C1850" s="67"/>
      <c r="D1850" s="67"/>
    </row>
    <row r="1851" spans="2:4" x14ac:dyDescent="0.2">
      <c r="B1851" s="67"/>
      <c r="C1851" s="67"/>
      <c r="D1851" s="67"/>
    </row>
    <row r="1852" spans="2:4" x14ac:dyDescent="0.2">
      <c r="B1852" s="67"/>
      <c r="C1852" s="67"/>
      <c r="D1852" s="67"/>
    </row>
    <row r="1853" spans="2:4" x14ac:dyDescent="0.2">
      <c r="B1853" s="67"/>
      <c r="C1853" s="67"/>
      <c r="D1853" s="67"/>
    </row>
    <row r="1854" spans="2:4" x14ac:dyDescent="0.2">
      <c r="B1854" s="67"/>
      <c r="C1854" s="67"/>
      <c r="D1854" s="67"/>
    </row>
    <row r="1855" spans="2:4" x14ac:dyDescent="0.2">
      <c r="B1855" s="67"/>
      <c r="C1855" s="67"/>
      <c r="D1855" s="67"/>
    </row>
    <row r="1856" spans="2:4" x14ac:dyDescent="0.2">
      <c r="B1856" s="67"/>
      <c r="C1856" s="67"/>
      <c r="D1856" s="67"/>
    </row>
    <row r="1857" spans="2:4" x14ac:dyDescent="0.2">
      <c r="B1857" s="67"/>
      <c r="C1857" s="67"/>
      <c r="D1857" s="67"/>
    </row>
    <row r="1858" spans="2:4" x14ac:dyDescent="0.2">
      <c r="B1858" s="67"/>
      <c r="C1858" s="67"/>
      <c r="D1858" s="67"/>
    </row>
    <row r="1859" spans="2:4" x14ac:dyDescent="0.2">
      <c r="B1859" s="67"/>
      <c r="C1859" s="67"/>
      <c r="D1859" s="67"/>
    </row>
    <row r="1860" spans="2:4" x14ac:dyDescent="0.2">
      <c r="B1860" s="67"/>
      <c r="C1860" s="67"/>
      <c r="D1860" s="67"/>
    </row>
    <row r="1861" spans="2:4" x14ac:dyDescent="0.2">
      <c r="B1861" s="67"/>
      <c r="C1861" s="67"/>
      <c r="D1861" s="67"/>
    </row>
    <row r="1862" spans="2:4" x14ac:dyDescent="0.2">
      <c r="B1862" s="67"/>
      <c r="C1862" s="67"/>
      <c r="D1862" s="67"/>
    </row>
    <row r="1863" spans="2:4" x14ac:dyDescent="0.2">
      <c r="B1863" s="67"/>
      <c r="C1863" s="67"/>
      <c r="D1863" s="67"/>
    </row>
    <row r="1864" spans="2:4" x14ac:dyDescent="0.2">
      <c r="B1864" s="67"/>
      <c r="C1864" s="67"/>
      <c r="D1864" s="67"/>
    </row>
    <row r="1865" spans="2:4" x14ac:dyDescent="0.2">
      <c r="B1865" s="67"/>
      <c r="C1865" s="67"/>
      <c r="D1865" s="67"/>
    </row>
    <row r="1866" spans="2:4" x14ac:dyDescent="0.2">
      <c r="B1866" s="67"/>
      <c r="C1866" s="67"/>
      <c r="D1866" s="67"/>
    </row>
    <row r="1867" spans="2:4" x14ac:dyDescent="0.2">
      <c r="B1867" s="67"/>
      <c r="C1867" s="67"/>
      <c r="D1867" s="67"/>
    </row>
    <row r="1868" spans="2:4" x14ac:dyDescent="0.2">
      <c r="B1868" s="67"/>
      <c r="C1868" s="67"/>
      <c r="D1868" s="67"/>
    </row>
    <row r="1869" spans="2:4" x14ac:dyDescent="0.2">
      <c r="B1869" s="67"/>
      <c r="C1869" s="67"/>
      <c r="D1869" s="67"/>
    </row>
    <row r="1870" spans="2:4" x14ac:dyDescent="0.2">
      <c r="B1870" s="67"/>
      <c r="C1870" s="67"/>
      <c r="D1870" s="67"/>
    </row>
    <row r="1871" spans="2:4" x14ac:dyDescent="0.2">
      <c r="B1871" s="67"/>
      <c r="C1871" s="67"/>
      <c r="D1871" s="67"/>
    </row>
    <row r="1872" spans="2:4" x14ac:dyDescent="0.2">
      <c r="B1872" s="67"/>
      <c r="C1872" s="67"/>
      <c r="D1872" s="67"/>
    </row>
    <row r="1873" spans="2:4" x14ac:dyDescent="0.2">
      <c r="B1873" s="67"/>
      <c r="C1873" s="67"/>
      <c r="D1873" s="67"/>
    </row>
    <row r="1874" spans="2:4" x14ac:dyDescent="0.2">
      <c r="B1874" s="67"/>
      <c r="C1874" s="67"/>
      <c r="D1874" s="67"/>
    </row>
    <row r="1875" spans="2:4" x14ac:dyDescent="0.2">
      <c r="B1875" s="67"/>
      <c r="C1875" s="67"/>
      <c r="D1875" s="67"/>
    </row>
    <row r="1876" spans="2:4" x14ac:dyDescent="0.2">
      <c r="B1876" s="67"/>
      <c r="C1876" s="67"/>
      <c r="D1876" s="67"/>
    </row>
    <row r="1877" spans="2:4" x14ac:dyDescent="0.2">
      <c r="B1877" s="67"/>
      <c r="C1877" s="67"/>
      <c r="D1877" s="67"/>
    </row>
    <row r="1878" spans="2:4" x14ac:dyDescent="0.2">
      <c r="B1878" s="67"/>
      <c r="C1878" s="67"/>
      <c r="D1878" s="67"/>
    </row>
    <row r="1879" spans="2:4" x14ac:dyDescent="0.2">
      <c r="B1879" s="67"/>
      <c r="C1879" s="67"/>
      <c r="D1879" s="67"/>
    </row>
    <row r="1880" spans="2:4" x14ac:dyDescent="0.2">
      <c r="B1880" s="67"/>
      <c r="C1880" s="67"/>
      <c r="D1880" s="67"/>
    </row>
    <row r="1881" spans="2:4" x14ac:dyDescent="0.2">
      <c r="B1881" s="67"/>
      <c r="C1881" s="67"/>
      <c r="D1881" s="67"/>
    </row>
    <row r="1882" spans="2:4" x14ac:dyDescent="0.2">
      <c r="B1882" s="67"/>
      <c r="C1882" s="67"/>
      <c r="D1882" s="67"/>
    </row>
    <row r="1883" spans="2:4" x14ac:dyDescent="0.2">
      <c r="B1883" s="67"/>
      <c r="C1883" s="67"/>
      <c r="D1883" s="67"/>
    </row>
    <row r="1884" spans="2:4" x14ac:dyDescent="0.2">
      <c r="B1884" s="67"/>
      <c r="C1884" s="67"/>
      <c r="D1884" s="67"/>
    </row>
    <row r="1885" spans="2:4" x14ac:dyDescent="0.2">
      <c r="B1885" s="67"/>
      <c r="C1885" s="67"/>
      <c r="D1885" s="67"/>
    </row>
    <row r="1886" spans="2:4" x14ac:dyDescent="0.2">
      <c r="B1886" s="67"/>
      <c r="C1886" s="67"/>
      <c r="D1886" s="67"/>
    </row>
    <row r="1887" spans="2:4" x14ac:dyDescent="0.2">
      <c r="B1887" s="67"/>
      <c r="C1887" s="67"/>
      <c r="D1887" s="67"/>
    </row>
    <row r="1888" spans="2:4" x14ac:dyDescent="0.2">
      <c r="B1888" s="67"/>
      <c r="C1888" s="67"/>
      <c r="D1888" s="67"/>
    </row>
    <row r="1889" spans="2:4" x14ac:dyDescent="0.2">
      <c r="B1889" s="67"/>
      <c r="C1889" s="67"/>
      <c r="D1889" s="67"/>
    </row>
    <row r="1890" spans="2:4" x14ac:dyDescent="0.2">
      <c r="B1890" s="67"/>
      <c r="C1890" s="67"/>
      <c r="D1890" s="67"/>
    </row>
    <row r="1891" spans="2:4" x14ac:dyDescent="0.2">
      <c r="B1891" s="67"/>
      <c r="C1891" s="67"/>
      <c r="D1891" s="67"/>
    </row>
    <row r="1892" spans="2:4" x14ac:dyDescent="0.2">
      <c r="B1892" s="67"/>
      <c r="C1892" s="67"/>
      <c r="D1892" s="67"/>
    </row>
    <row r="1893" spans="2:4" x14ac:dyDescent="0.2">
      <c r="B1893" s="67"/>
      <c r="C1893" s="67"/>
      <c r="D1893" s="67"/>
    </row>
    <row r="1894" spans="2:4" x14ac:dyDescent="0.2">
      <c r="B1894" s="67"/>
      <c r="C1894" s="67"/>
      <c r="D1894" s="67"/>
    </row>
    <row r="1895" spans="2:4" x14ac:dyDescent="0.2">
      <c r="B1895" s="67"/>
      <c r="C1895" s="67"/>
      <c r="D1895" s="67"/>
    </row>
    <row r="1896" spans="2:4" x14ac:dyDescent="0.2">
      <c r="B1896" s="67"/>
      <c r="C1896" s="67"/>
      <c r="D1896" s="67"/>
    </row>
    <row r="1897" spans="2:4" x14ac:dyDescent="0.2">
      <c r="B1897" s="67"/>
      <c r="C1897" s="67"/>
      <c r="D1897" s="67"/>
    </row>
    <row r="1898" spans="2:4" x14ac:dyDescent="0.2">
      <c r="B1898" s="67"/>
      <c r="C1898" s="67"/>
      <c r="D1898" s="67"/>
    </row>
    <row r="1899" spans="2:4" x14ac:dyDescent="0.2">
      <c r="B1899" s="67"/>
      <c r="C1899" s="67"/>
      <c r="D1899" s="67"/>
    </row>
    <row r="1900" spans="2:4" x14ac:dyDescent="0.2">
      <c r="B1900" s="67"/>
      <c r="C1900" s="67"/>
      <c r="D1900" s="67"/>
    </row>
    <row r="1901" spans="2:4" x14ac:dyDescent="0.2">
      <c r="B1901" s="67"/>
      <c r="C1901" s="67"/>
      <c r="D1901" s="67"/>
    </row>
    <row r="1902" spans="2:4" x14ac:dyDescent="0.2">
      <c r="B1902" s="67"/>
      <c r="C1902" s="67"/>
      <c r="D1902" s="67"/>
    </row>
    <row r="1903" spans="2:4" x14ac:dyDescent="0.2">
      <c r="B1903" s="67"/>
      <c r="C1903" s="67"/>
      <c r="D1903" s="67"/>
    </row>
    <row r="1904" spans="2:4" x14ac:dyDescent="0.2">
      <c r="B1904" s="67"/>
      <c r="C1904" s="67"/>
      <c r="D1904" s="67"/>
    </row>
    <row r="1905" spans="2:4" x14ac:dyDescent="0.2">
      <c r="B1905" s="67"/>
      <c r="C1905" s="67"/>
      <c r="D1905" s="67"/>
    </row>
    <row r="1906" spans="2:4" x14ac:dyDescent="0.2">
      <c r="B1906" s="67"/>
      <c r="C1906" s="67"/>
      <c r="D1906" s="67"/>
    </row>
    <row r="1907" spans="2:4" x14ac:dyDescent="0.2">
      <c r="B1907" s="67"/>
      <c r="C1907" s="67"/>
      <c r="D1907" s="67"/>
    </row>
    <row r="1908" spans="2:4" x14ac:dyDescent="0.2">
      <c r="B1908" s="67"/>
      <c r="C1908" s="67"/>
      <c r="D1908" s="67"/>
    </row>
    <row r="1909" spans="2:4" x14ac:dyDescent="0.2">
      <c r="B1909" s="67"/>
      <c r="C1909" s="67"/>
      <c r="D1909" s="67"/>
    </row>
    <row r="1910" spans="2:4" x14ac:dyDescent="0.2">
      <c r="B1910" s="67"/>
      <c r="C1910" s="67"/>
      <c r="D1910" s="67"/>
    </row>
    <row r="1911" spans="2:4" x14ac:dyDescent="0.2">
      <c r="B1911" s="67"/>
      <c r="C1911" s="67"/>
      <c r="D1911" s="67"/>
    </row>
    <row r="1912" spans="2:4" x14ac:dyDescent="0.2">
      <c r="B1912" s="67"/>
      <c r="C1912" s="67"/>
      <c r="D1912" s="67"/>
    </row>
    <row r="1913" spans="2:4" x14ac:dyDescent="0.2">
      <c r="B1913" s="67"/>
      <c r="C1913" s="67"/>
      <c r="D1913" s="67"/>
    </row>
    <row r="1914" spans="2:4" x14ac:dyDescent="0.2">
      <c r="B1914" s="67"/>
      <c r="C1914" s="67"/>
      <c r="D1914" s="67"/>
    </row>
    <row r="1915" spans="2:4" x14ac:dyDescent="0.2">
      <c r="B1915" s="67"/>
      <c r="C1915" s="67"/>
      <c r="D1915" s="67"/>
    </row>
    <row r="1916" spans="2:4" x14ac:dyDescent="0.2">
      <c r="B1916" s="67"/>
      <c r="C1916" s="67"/>
      <c r="D1916" s="67"/>
    </row>
    <row r="1917" spans="2:4" x14ac:dyDescent="0.2">
      <c r="B1917" s="67"/>
      <c r="C1917" s="67"/>
      <c r="D1917" s="67"/>
    </row>
    <row r="1918" spans="2:4" x14ac:dyDescent="0.2">
      <c r="B1918" s="67"/>
      <c r="C1918" s="67"/>
      <c r="D1918" s="67"/>
    </row>
    <row r="1919" spans="2:4" x14ac:dyDescent="0.2">
      <c r="B1919" s="67"/>
      <c r="C1919" s="67"/>
      <c r="D1919" s="67"/>
    </row>
    <row r="1920" spans="2:4" x14ac:dyDescent="0.2">
      <c r="B1920" s="67"/>
      <c r="C1920" s="67"/>
      <c r="D1920" s="67"/>
    </row>
    <row r="1921" spans="2:4" x14ac:dyDescent="0.2">
      <c r="B1921" s="67"/>
      <c r="C1921" s="67"/>
      <c r="D1921" s="67"/>
    </row>
    <row r="1922" spans="2:4" x14ac:dyDescent="0.2">
      <c r="B1922" s="67"/>
      <c r="C1922" s="67"/>
      <c r="D1922" s="67"/>
    </row>
    <row r="1923" spans="2:4" x14ac:dyDescent="0.2">
      <c r="B1923" s="67"/>
      <c r="C1923" s="67"/>
      <c r="D1923" s="67"/>
    </row>
    <row r="1924" spans="2:4" x14ac:dyDescent="0.2">
      <c r="B1924" s="67"/>
      <c r="C1924" s="67"/>
      <c r="D1924" s="67"/>
    </row>
    <row r="1925" spans="2:4" x14ac:dyDescent="0.2">
      <c r="B1925" s="67"/>
      <c r="C1925" s="67"/>
      <c r="D1925" s="67"/>
    </row>
    <row r="1926" spans="2:4" x14ac:dyDescent="0.2">
      <c r="B1926" s="67"/>
      <c r="C1926" s="67"/>
      <c r="D1926" s="67"/>
    </row>
    <row r="1927" spans="2:4" x14ac:dyDescent="0.2">
      <c r="B1927" s="67"/>
      <c r="C1927" s="67"/>
      <c r="D1927" s="67"/>
    </row>
    <row r="1928" spans="2:4" x14ac:dyDescent="0.2">
      <c r="B1928" s="67"/>
      <c r="C1928" s="67"/>
      <c r="D1928" s="67"/>
    </row>
    <row r="1929" spans="2:4" x14ac:dyDescent="0.2">
      <c r="B1929" s="67"/>
      <c r="C1929" s="67"/>
      <c r="D1929" s="67"/>
    </row>
    <row r="1930" spans="2:4" x14ac:dyDescent="0.2">
      <c r="B1930" s="67"/>
      <c r="C1930" s="67"/>
      <c r="D1930" s="67"/>
    </row>
    <row r="1931" spans="2:4" x14ac:dyDescent="0.2">
      <c r="B1931" s="67"/>
      <c r="C1931" s="67"/>
      <c r="D1931" s="67"/>
    </row>
    <row r="1932" spans="2:4" x14ac:dyDescent="0.2">
      <c r="B1932" s="67"/>
      <c r="C1932" s="67"/>
      <c r="D1932" s="67"/>
    </row>
    <row r="1933" spans="2:4" x14ac:dyDescent="0.2">
      <c r="B1933" s="67"/>
      <c r="C1933" s="67"/>
      <c r="D1933" s="67"/>
    </row>
    <row r="1934" spans="2:4" x14ac:dyDescent="0.2">
      <c r="B1934" s="67"/>
      <c r="C1934" s="67"/>
      <c r="D1934" s="67"/>
    </row>
    <row r="1935" spans="2:4" x14ac:dyDescent="0.2">
      <c r="B1935" s="67"/>
      <c r="C1935" s="67"/>
      <c r="D1935" s="67"/>
    </row>
    <row r="1936" spans="2:4" x14ac:dyDescent="0.2">
      <c r="B1936" s="67"/>
      <c r="C1936" s="67"/>
      <c r="D1936" s="67"/>
    </row>
    <row r="1937" spans="2:4" x14ac:dyDescent="0.2">
      <c r="B1937" s="67"/>
      <c r="C1937" s="67"/>
      <c r="D1937" s="67"/>
    </row>
    <row r="1938" spans="2:4" x14ac:dyDescent="0.2">
      <c r="B1938" s="67"/>
      <c r="C1938" s="67"/>
      <c r="D1938" s="67"/>
    </row>
    <row r="1939" spans="2:4" x14ac:dyDescent="0.2">
      <c r="B1939" s="67"/>
      <c r="C1939" s="67"/>
      <c r="D1939" s="67"/>
    </row>
    <row r="1940" spans="2:4" x14ac:dyDescent="0.2">
      <c r="B1940" s="67"/>
      <c r="C1940" s="67"/>
      <c r="D1940" s="67"/>
    </row>
    <row r="1941" spans="2:4" x14ac:dyDescent="0.2">
      <c r="B1941" s="67"/>
      <c r="C1941" s="67"/>
      <c r="D1941" s="67"/>
    </row>
    <row r="1942" spans="2:4" x14ac:dyDescent="0.2">
      <c r="B1942" s="67"/>
      <c r="C1942" s="67"/>
      <c r="D1942" s="67"/>
    </row>
    <row r="1943" spans="2:4" x14ac:dyDescent="0.2">
      <c r="B1943" s="67"/>
      <c r="C1943" s="67"/>
      <c r="D1943" s="67"/>
    </row>
    <row r="1944" spans="2:4" x14ac:dyDescent="0.2">
      <c r="B1944" s="67"/>
      <c r="C1944" s="67"/>
      <c r="D1944" s="67"/>
    </row>
    <row r="1945" spans="2:4" x14ac:dyDescent="0.2">
      <c r="B1945" s="67"/>
      <c r="C1945" s="67"/>
      <c r="D1945" s="67"/>
    </row>
    <row r="1946" spans="2:4" x14ac:dyDescent="0.2">
      <c r="B1946" s="67"/>
      <c r="C1946" s="67"/>
      <c r="D1946" s="67"/>
    </row>
    <row r="1947" spans="2:4" x14ac:dyDescent="0.2">
      <c r="B1947" s="67"/>
      <c r="C1947" s="67"/>
      <c r="D1947" s="67"/>
    </row>
    <row r="1948" spans="2:4" x14ac:dyDescent="0.2">
      <c r="B1948" s="67"/>
      <c r="C1948" s="67"/>
      <c r="D1948" s="67"/>
    </row>
    <row r="1949" spans="2:4" x14ac:dyDescent="0.2">
      <c r="B1949" s="67"/>
      <c r="C1949" s="67"/>
      <c r="D1949" s="67"/>
    </row>
    <row r="1950" spans="2:4" x14ac:dyDescent="0.2">
      <c r="B1950" s="67"/>
      <c r="C1950" s="67"/>
      <c r="D1950" s="67"/>
    </row>
    <row r="1951" spans="2:4" x14ac:dyDescent="0.2">
      <c r="B1951" s="67"/>
      <c r="C1951" s="67"/>
      <c r="D1951" s="67"/>
    </row>
    <row r="1952" spans="2:4" x14ac:dyDescent="0.2">
      <c r="B1952" s="67"/>
      <c r="C1952" s="67"/>
      <c r="D1952" s="67"/>
    </row>
    <row r="1953" spans="2:4" x14ac:dyDescent="0.2">
      <c r="B1953" s="67"/>
      <c r="C1953" s="67"/>
      <c r="D1953" s="67"/>
    </row>
    <row r="1954" spans="2:4" x14ac:dyDescent="0.2">
      <c r="B1954" s="67"/>
      <c r="C1954" s="67"/>
      <c r="D1954" s="67"/>
    </row>
    <row r="1955" spans="2:4" x14ac:dyDescent="0.2">
      <c r="B1955" s="67"/>
      <c r="C1955" s="67"/>
      <c r="D1955" s="67"/>
    </row>
    <row r="1956" spans="2:4" x14ac:dyDescent="0.2">
      <c r="B1956" s="67"/>
      <c r="C1956" s="67"/>
      <c r="D1956" s="67"/>
    </row>
    <row r="1957" spans="2:4" x14ac:dyDescent="0.2">
      <c r="B1957" s="67"/>
      <c r="C1957" s="67"/>
      <c r="D1957" s="67"/>
    </row>
    <row r="1958" spans="2:4" x14ac:dyDescent="0.2">
      <c r="B1958" s="67"/>
      <c r="C1958" s="67"/>
      <c r="D1958" s="67"/>
    </row>
    <row r="1959" spans="2:4" x14ac:dyDescent="0.2">
      <c r="B1959" s="67"/>
      <c r="C1959" s="67"/>
      <c r="D1959" s="67"/>
    </row>
    <row r="1960" spans="2:4" x14ac:dyDescent="0.2">
      <c r="B1960" s="67"/>
      <c r="C1960" s="67"/>
      <c r="D1960" s="67"/>
    </row>
    <row r="1961" spans="2:4" x14ac:dyDescent="0.2">
      <c r="B1961" s="67"/>
      <c r="C1961" s="67"/>
      <c r="D1961" s="67"/>
    </row>
    <row r="1962" spans="2:4" x14ac:dyDescent="0.2">
      <c r="B1962" s="67"/>
      <c r="C1962" s="67"/>
      <c r="D1962" s="67"/>
    </row>
    <row r="1963" spans="2:4" x14ac:dyDescent="0.2">
      <c r="B1963" s="67"/>
      <c r="C1963" s="67"/>
      <c r="D1963" s="67"/>
    </row>
    <row r="1964" spans="2:4" x14ac:dyDescent="0.2">
      <c r="B1964" s="67"/>
      <c r="C1964" s="67"/>
      <c r="D1964" s="67"/>
    </row>
    <row r="1965" spans="2:4" x14ac:dyDescent="0.2">
      <c r="B1965" s="67"/>
      <c r="C1965" s="67"/>
      <c r="D1965" s="67"/>
    </row>
    <row r="1966" spans="2:4" x14ac:dyDescent="0.2">
      <c r="B1966" s="67"/>
      <c r="C1966" s="67"/>
      <c r="D1966" s="67"/>
    </row>
    <row r="1967" spans="2:4" x14ac:dyDescent="0.2">
      <c r="B1967" s="67"/>
      <c r="C1967" s="67"/>
      <c r="D1967" s="67"/>
    </row>
    <row r="1968" spans="2:4" x14ac:dyDescent="0.2">
      <c r="B1968" s="67"/>
      <c r="C1968" s="67"/>
      <c r="D1968" s="67"/>
    </row>
    <row r="1969" spans="2:4" x14ac:dyDescent="0.2">
      <c r="B1969" s="67"/>
      <c r="C1969" s="67"/>
      <c r="D1969" s="67"/>
    </row>
    <row r="1970" spans="2:4" x14ac:dyDescent="0.2">
      <c r="B1970" s="67"/>
      <c r="C1970" s="67"/>
      <c r="D1970" s="67"/>
    </row>
    <row r="1971" spans="2:4" x14ac:dyDescent="0.2">
      <c r="B1971" s="67"/>
      <c r="C1971" s="67"/>
      <c r="D1971" s="67"/>
    </row>
    <row r="1972" spans="2:4" x14ac:dyDescent="0.2">
      <c r="B1972" s="67"/>
      <c r="C1972" s="67"/>
      <c r="D1972" s="67"/>
    </row>
    <row r="1973" spans="2:4" x14ac:dyDescent="0.2">
      <c r="B1973" s="67"/>
      <c r="C1973" s="67"/>
      <c r="D1973" s="67"/>
    </row>
    <row r="1974" spans="2:4" x14ac:dyDescent="0.2">
      <c r="B1974" s="67"/>
      <c r="C1974" s="67"/>
      <c r="D1974" s="67"/>
    </row>
    <row r="1975" spans="2:4" x14ac:dyDescent="0.2">
      <c r="B1975" s="67"/>
      <c r="C1975" s="67"/>
      <c r="D1975" s="67"/>
    </row>
    <row r="1976" spans="2:4" x14ac:dyDescent="0.2">
      <c r="B1976" s="67"/>
      <c r="C1976" s="67"/>
      <c r="D1976" s="67"/>
    </row>
    <row r="1977" spans="2:4" x14ac:dyDescent="0.2">
      <c r="B1977" s="67"/>
      <c r="C1977" s="67"/>
      <c r="D1977" s="67"/>
    </row>
    <row r="1978" spans="2:4" x14ac:dyDescent="0.2">
      <c r="B1978" s="67"/>
      <c r="C1978" s="67"/>
      <c r="D1978" s="67"/>
    </row>
    <row r="1979" spans="2:4" x14ac:dyDescent="0.2">
      <c r="B1979" s="67"/>
      <c r="C1979" s="67"/>
      <c r="D1979" s="67"/>
    </row>
    <row r="1980" spans="2:4" x14ac:dyDescent="0.2">
      <c r="B1980" s="67"/>
      <c r="C1980" s="67"/>
      <c r="D1980" s="67"/>
    </row>
    <row r="1981" spans="2:4" x14ac:dyDescent="0.2">
      <c r="B1981" s="67"/>
      <c r="C1981" s="67"/>
      <c r="D1981" s="67"/>
    </row>
    <row r="1982" spans="2:4" x14ac:dyDescent="0.2">
      <c r="B1982" s="67"/>
      <c r="C1982" s="67"/>
      <c r="D1982" s="67"/>
    </row>
    <row r="1983" spans="2:4" x14ac:dyDescent="0.2">
      <c r="B1983" s="67"/>
      <c r="C1983" s="67"/>
      <c r="D1983" s="67"/>
    </row>
    <row r="1984" spans="2:4" x14ac:dyDescent="0.2">
      <c r="B1984" s="67"/>
      <c r="C1984" s="67"/>
      <c r="D1984" s="67"/>
    </row>
    <row r="1985" spans="2:4" x14ac:dyDescent="0.2">
      <c r="B1985" s="67"/>
      <c r="C1985" s="67"/>
      <c r="D1985" s="67"/>
    </row>
    <row r="1986" spans="2:4" x14ac:dyDescent="0.2">
      <c r="B1986" s="67"/>
      <c r="C1986" s="67"/>
      <c r="D1986" s="67"/>
    </row>
    <row r="1987" spans="2:4" x14ac:dyDescent="0.2">
      <c r="B1987" s="67"/>
      <c r="C1987" s="67"/>
      <c r="D1987" s="67"/>
    </row>
    <row r="1988" spans="2:4" x14ac:dyDescent="0.2">
      <c r="B1988" s="67"/>
      <c r="C1988" s="67"/>
      <c r="D1988" s="67"/>
    </row>
    <row r="1989" spans="2:4" x14ac:dyDescent="0.2">
      <c r="B1989" s="67"/>
      <c r="C1989" s="67"/>
      <c r="D1989" s="67"/>
    </row>
    <row r="1990" spans="2:4" x14ac:dyDescent="0.2">
      <c r="B1990" s="67"/>
      <c r="C1990" s="67"/>
      <c r="D1990" s="67"/>
    </row>
    <row r="1991" spans="2:4" x14ac:dyDescent="0.2">
      <c r="B1991" s="67"/>
      <c r="C1991" s="67"/>
      <c r="D1991" s="67"/>
    </row>
    <row r="1992" spans="2:4" x14ac:dyDescent="0.2">
      <c r="B1992" s="67"/>
      <c r="C1992" s="67"/>
      <c r="D1992" s="67"/>
    </row>
    <row r="1993" spans="2:4" x14ac:dyDescent="0.2">
      <c r="B1993" s="67"/>
      <c r="C1993" s="67"/>
      <c r="D1993" s="67"/>
    </row>
    <row r="1994" spans="2:4" x14ac:dyDescent="0.2">
      <c r="B1994" s="67"/>
      <c r="C1994" s="67"/>
      <c r="D1994" s="67"/>
    </row>
    <row r="1995" spans="2:4" x14ac:dyDescent="0.2">
      <c r="B1995" s="67"/>
      <c r="C1995" s="67"/>
      <c r="D1995" s="67"/>
    </row>
    <row r="1996" spans="2:4" x14ac:dyDescent="0.2">
      <c r="B1996" s="67"/>
      <c r="C1996" s="67"/>
      <c r="D1996" s="67"/>
    </row>
    <row r="1997" spans="2:4" x14ac:dyDescent="0.2">
      <c r="B1997" s="67"/>
      <c r="C1997" s="67"/>
      <c r="D1997" s="67"/>
    </row>
    <row r="1998" spans="2:4" x14ac:dyDescent="0.2">
      <c r="B1998" s="67"/>
      <c r="C1998" s="67"/>
      <c r="D1998" s="67"/>
    </row>
    <row r="1999" spans="2:4" x14ac:dyDescent="0.2">
      <c r="B1999" s="67"/>
      <c r="C1999" s="67"/>
      <c r="D1999" s="67"/>
    </row>
    <row r="2000" spans="2:4" x14ac:dyDescent="0.2">
      <c r="B2000" s="67"/>
      <c r="C2000" s="67"/>
      <c r="D2000" s="67"/>
    </row>
    <row r="2001" spans="2:4" x14ac:dyDescent="0.2">
      <c r="B2001" s="67"/>
      <c r="C2001" s="67"/>
      <c r="D2001" s="67"/>
    </row>
    <row r="2002" spans="2:4" x14ac:dyDescent="0.2">
      <c r="B2002" s="67"/>
      <c r="C2002" s="67"/>
      <c r="D2002" s="67"/>
    </row>
    <row r="2003" spans="2:4" x14ac:dyDescent="0.2">
      <c r="B2003" s="67"/>
      <c r="C2003" s="67"/>
      <c r="D2003" s="67"/>
    </row>
    <row r="2004" spans="2:4" x14ac:dyDescent="0.2">
      <c r="B2004" s="67"/>
      <c r="C2004" s="67"/>
      <c r="D2004" s="67"/>
    </row>
    <row r="2005" spans="2:4" x14ac:dyDescent="0.2">
      <c r="B2005" s="67"/>
      <c r="C2005" s="67"/>
      <c r="D2005" s="67"/>
    </row>
    <row r="2006" spans="2:4" x14ac:dyDescent="0.2">
      <c r="B2006" s="67"/>
      <c r="C2006" s="67"/>
      <c r="D2006" s="67"/>
    </row>
    <row r="2007" spans="2:4" x14ac:dyDescent="0.2">
      <c r="B2007" s="67"/>
      <c r="C2007" s="67"/>
      <c r="D2007" s="67"/>
    </row>
    <row r="2008" spans="2:4" x14ac:dyDescent="0.2">
      <c r="B2008" s="67"/>
      <c r="C2008" s="67"/>
      <c r="D2008" s="67"/>
    </row>
    <row r="2009" spans="2:4" x14ac:dyDescent="0.2">
      <c r="B2009" s="67"/>
      <c r="C2009" s="67"/>
      <c r="D2009" s="67"/>
    </row>
    <row r="2010" spans="2:4" x14ac:dyDescent="0.2">
      <c r="B2010" s="67"/>
      <c r="C2010" s="67"/>
      <c r="D2010" s="67"/>
    </row>
    <row r="2011" spans="2:4" x14ac:dyDescent="0.2">
      <c r="B2011" s="67"/>
      <c r="C2011" s="67"/>
      <c r="D2011" s="67"/>
    </row>
    <row r="2012" spans="2:4" x14ac:dyDescent="0.2">
      <c r="B2012" s="67"/>
      <c r="C2012" s="67"/>
      <c r="D2012" s="67"/>
    </row>
    <row r="2013" spans="2:4" x14ac:dyDescent="0.2">
      <c r="B2013" s="67"/>
      <c r="C2013" s="67"/>
      <c r="D2013" s="67"/>
    </row>
    <row r="2014" spans="2:4" x14ac:dyDescent="0.2">
      <c r="B2014" s="67"/>
      <c r="C2014" s="67"/>
      <c r="D2014" s="67"/>
    </row>
    <row r="2015" spans="2:4" x14ac:dyDescent="0.2">
      <c r="B2015" s="67"/>
      <c r="C2015" s="67"/>
      <c r="D2015" s="67"/>
    </row>
    <row r="2016" spans="2:4" x14ac:dyDescent="0.2">
      <c r="B2016" s="67"/>
      <c r="C2016" s="67"/>
      <c r="D2016" s="67"/>
    </row>
    <row r="2017" spans="2:4" x14ac:dyDescent="0.2">
      <c r="B2017" s="67"/>
      <c r="C2017" s="67"/>
      <c r="D2017" s="67"/>
    </row>
    <row r="2018" spans="2:4" x14ac:dyDescent="0.2">
      <c r="B2018" s="67"/>
      <c r="C2018" s="67"/>
      <c r="D2018" s="67"/>
    </row>
    <row r="2019" spans="2:4" x14ac:dyDescent="0.2">
      <c r="B2019" s="67"/>
      <c r="C2019" s="67"/>
      <c r="D2019" s="67"/>
    </row>
    <row r="2020" spans="2:4" x14ac:dyDescent="0.2">
      <c r="B2020" s="67"/>
      <c r="C2020" s="67"/>
      <c r="D2020" s="67"/>
    </row>
    <row r="2021" spans="2:4" x14ac:dyDescent="0.2">
      <c r="B2021" s="67"/>
      <c r="C2021" s="67"/>
      <c r="D2021" s="67"/>
    </row>
    <row r="2022" spans="2:4" x14ac:dyDescent="0.2">
      <c r="B2022" s="67"/>
      <c r="C2022" s="67"/>
      <c r="D2022" s="67"/>
    </row>
    <row r="2023" spans="2:4" x14ac:dyDescent="0.2">
      <c r="B2023" s="67"/>
      <c r="C2023" s="67"/>
      <c r="D2023" s="67"/>
    </row>
    <row r="2024" spans="2:4" x14ac:dyDescent="0.2">
      <c r="B2024" s="67"/>
      <c r="C2024" s="67"/>
      <c r="D2024" s="67"/>
    </row>
    <row r="2025" spans="2:4" x14ac:dyDescent="0.2">
      <c r="B2025" s="67"/>
      <c r="C2025" s="67"/>
      <c r="D2025" s="67"/>
    </row>
    <row r="2026" spans="2:4" x14ac:dyDescent="0.2">
      <c r="B2026" s="67"/>
      <c r="C2026" s="67"/>
      <c r="D2026" s="67"/>
    </row>
    <row r="2027" spans="2:4" x14ac:dyDescent="0.2">
      <c r="B2027" s="67"/>
      <c r="C2027" s="67"/>
      <c r="D2027" s="67"/>
    </row>
    <row r="2028" spans="2:4" x14ac:dyDescent="0.2">
      <c r="B2028" s="67"/>
      <c r="C2028" s="67"/>
      <c r="D2028" s="67"/>
    </row>
    <row r="2029" spans="2:4" x14ac:dyDescent="0.2">
      <c r="B2029" s="67"/>
      <c r="C2029" s="67"/>
      <c r="D2029" s="67"/>
    </row>
    <row r="2030" spans="2:4" x14ac:dyDescent="0.2">
      <c r="B2030" s="67"/>
      <c r="C2030" s="67"/>
      <c r="D2030" s="67"/>
    </row>
    <row r="2031" spans="2:4" x14ac:dyDescent="0.2">
      <c r="B2031" s="67"/>
      <c r="C2031" s="67"/>
      <c r="D2031" s="67"/>
    </row>
    <row r="2032" spans="2:4" x14ac:dyDescent="0.2">
      <c r="B2032" s="67"/>
      <c r="C2032" s="67"/>
      <c r="D2032" s="67"/>
    </row>
    <row r="2033" spans="2:4" x14ac:dyDescent="0.2">
      <c r="B2033" s="67"/>
      <c r="C2033" s="67"/>
      <c r="D2033" s="67"/>
    </row>
    <row r="2034" spans="2:4" x14ac:dyDescent="0.2">
      <c r="B2034" s="67"/>
      <c r="C2034" s="67"/>
      <c r="D2034" s="67"/>
    </row>
    <row r="2035" spans="2:4" x14ac:dyDescent="0.2">
      <c r="B2035" s="67"/>
      <c r="C2035" s="67"/>
      <c r="D2035" s="67"/>
    </row>
    <row r="2036" spans="2:4" x14ac:dyDescent="0.2">
      <c r="B2036" s="67"/>
      <c r="C2036" s="67"/>
      <c r="D2036" s="67"/>
    </row>
    <row r="2037" spans="2:4" x14ac:dyDescent="0.2">
      <c r="B2037" s="67"/>
      <c r="C2037" s="67"/>
      <c r="D2037" s="67"/>
    </row>
    <row r="2038" spans="2:4" x14ac:dyDescent="0.2">
      <c r="B2038" s="67"/>
      <c r="C2038" s="67"/>
      <c r="D2038" s="67"/>
    </row>
    <row r="2039" spans="2:4" x14ac:dyDescent="0.2">
      <c r="B2039" s="67"/>
      <c r="C2039" s="67"/>
      <c r="D2039" s="67"/>
    </row>
    <row r="2040" spans="2:4" x14ac:dyDescent="0.2">
      <c r="B2040" s="67"/>
      <c r="C2040" s="67"/>
      <c r="D2040" s="67"/>
    </row>
    <row r="2041" spans="2:4" x14ac:dyDescent="0.2">
      <c r="B2041" s="67"/>
      <c r="C2041" s="67"/>
      <c r="D2041" s="67"/>
    </row>
    <row r="2042" spans="2:4" x14ac:dyDescent="0.2">
      <c r="B2042" s="67"/>
      <c r="C2042" s="67"/>
      <c r="D2042" s="67"/>
    </row>
    <row r="2043" spans="2:4" x14ac:dyDescent="0.2">
      <c r="B2043" s="67"/>
      <c r="C2043" s="67"/>
      <c r="D2043" s="67"/>
    </row>
    <row r="2044" spans="2:4" x14ac:dyDescent="0.2">
      <c r="B2044" s="67"/>
      <c r="C2044" s="67"/>
      <c r="D2044" s="67"/>
    </row>
    <row r="2045" spans="2:4" x14ac:dyDescent="0.2">
      <c r="B2045" s="67"/>
      <c r="C2045" s="67"/>
      <c r="D2045" s="67"/>
    </row>
    <row r="2046" spans="2:4" x14ac:dyDescent="0.2">
      <c r="B2046" s="67"/>
      <c r="C2046" s="67"/>
      <c r="D2046" s="67"/>
    </row>
    <row r="2047" spans="2:4" x14ac:dyDescent="0.2">
      <c r="B2047" s="67"/>
      <c r="C2047" s="67"/>
      <c r="D2047" s="67"/>
    </row>
    <row r="2048" spans="2:4" x14ac:dyDescent="0.2">
      <c r="B2048" s="67"/>
      <c r="C2048" s="67"/>
      <c r="D2048" s="67"/>
    </row>
    <row r="2049" spans="2:4" x14ac:dyDescent="0.2">
      <c r="B2049" s="67"/>
      <c r="C2049" s="67"/>
      <c r="D2049" s="67"/>
    </row>
    <row r="2050" spans="2:4" x14ac:dyDescent="0.2">
      <c r="B2050" s="67"/>
      <c r="C2050" s="67"/>
      <c r="D2050" s="67"/>
    </row>
    <row r="2051" spans="2:4" x14ac:dyDescent="0.2">
      <c r="B2051" s="67"/>
      <c r="C2051" s="67"/>
      <c r="D2051" s="67"/>
    </row>
    <row r="2052" spans="2:4" x14ac:dyDescent="0.2">
      <c r="B2052" s="67"/>
      <c r="C2052" s="67"/>
      <c r="D2052" s="67"/>
    </row>
    <row r="2053" spans="2:4" x14ac:dyDescent="0.2">
      <c r="B2053" s="67"/>
      <c r="C2053" s="67"/>
      <c r="D2053" s="67"/>
    </row>
    <row r="2054" spans="2:4" x14ac:dyDescent="0.2">
      <c r="B2054" s="67"/>
      <c r="C2054" s="67"/>
      <c r="D2054" s="67"/>
    </row>
    <row r="2055" spans="2:4" x14ac:dyDescent="0.2">
      <c r="B2055" s="67"/>
      <c r="C2055" s="67"/>
      <c r="D2055" s="67"/>
    </row>
    <row r="2056" spans="2:4" x14ac:dyDescent="0.2">
      <c r="B2056" s="67"/>
      <c r="C2056" s="67"/>
      <c r="D2056" s="67"/>
    </row>
    <row r="2057" spans="2:4" x14ac:dyDescent="0.2">
      <c r="B2057" s="67"/>
      <c r="C2057" s="67"/>
      <c r="D2057" s="67"/>
    </row>
    <row r="2058" spans="2:4" x14ac:dyDescent="0.2">
      <c r="B2058" s="67"/>
      <c r="C2058" s="67"/>
      <c r="D2058" s="67"/>
    </row>
    <row r="2059" spans="2:4" x14ac:dyDescent="0.2">
      <c r="B2059" s="67"/>
      <c r="C2059" s="67"/>
      <c r="D2059" s="67"/>
    </row>
    <row r="2060" spans="2:4" x14ac:dyDescent="0.2">
      <c r="B2060" s="67"/>
      <c r="C2060" s="67"/>
      <c r="D2060" s="67"/>
    </row>
    <row r="2061" spans="2:4" x14ac:dyDescent="0.2">
      <c r="B2061" s="67"/>
      <c r="C2061" s="67"/>
      <c r="D2061" s="67"/>
    </row>
    <row r="2062" spans="2:4" x14ac:dyDescent="0.2">
      <c r="B2062" s="67"/>
      <c r="C2062" s="67"/>
      <c r="D2062" s="67"/>
    </row>
    <row r="2063" spans="2:4" x14ac:dyDescent="0.2">
      <c r="B2063" s="67"/>
      <c r="C2063" s="67"/>
      <c r="D2063" s="67"/>
    </row>
    <row r="2064" spans="2:4" x14ac:dyDescent="0.2">
      <c r="B2064" s="67"/>
      <c r="C2064" s="67"/>
      <c r="D2064" s="67"/>
    </row>
    <row r="2065" spans="2:4" x14ac:dyDescent="0.2">
      <c r="B2065" s="67"/>
      <c r="C2065" s="67"/>
      <c r="D2065" s="67"/>
    </row>
    <row r="2066" spans="2:4" x14ac:dyDescent="0.2">
      <c r="B2066" s="67"/>
      <c r="C2066" s="67"/>
      <c r="D2066" s="67"/>
    </row>
    <row r="2067" spans="2:4" x14ac:dyDescent="0.2">
      <c r="B2067" s="67"/>
      <c r="C2067" s="67"/>
      <c r="D2067" s="67"/>
    </row>
    <row r="2068" spans="2:4" x14ac:dyDescent="0.2">
      <c r="B2068" s="67"/>
      <c r="C2068" s="67"/>
      <c r="D2068" s="67"/>
    </row>
    <row r="2069" spans="2:4" x14ac:dyDescent="0.2">
      <c r="B2069" s="67"/>
      <c r="C2069" s="67"/>
      <c r="D2069" s="67"/>
    </row>
    <row r="2070" spans="2:4" x14ac:dyDescent="0.2">
      <c r="B2070" s="67"/>
      <c r="C2070" s="67"/>
      <c r="D2070" s="67"/>
    </row>
    <row r="2071" spans="2:4" x14ac:dyDescent="0.2">
      <c r="B2071" s="67"/>
      <c r="C2071" s="67"/>
      <c r="D2071" s="67"/>
    </row>
    <row r="2072" spans="2:4" x14ac:dyDescent="0.2">
      <c r="B2072" s="67"/>
      <c r="C2072" s="67"/>
      <c r="D2072" s="67"/>
    </row>
    <row r="2073" spans="2:4" x14ac:dyDescent="0.2">
      <c r="B2073" s="67"/>
      <c r="C2073" s="67"/>
      <c r="D2073" s="67"/>
    </row>
    <row r="2074" spans="2:4" x14ac:dyDescent="0.2">
      <c r="B2074" s="67"/>
      <c r="C2074" s="67"/>
      <c r="D2074" s="67"/>
    </row>
    <row r="2075" spans="2:4" x14ac:dyDescent="0.2">
      <c r="B2075" s="67"/>
      <c r="C2075" s="67"/>
      <c r="D2075" s="67"/>
    </row>
    <row r="2076" spans="2:4" x14ac:dyDescent="0.2">
      <c r="B2076" s="67"/>
      <c r="C2076" s="67"/>
      <c r="D2076" s="67"/>
    </row>
    <row r="2077" spans="2:4" x14ac:dyDescent="0.2">
      <c r="B2077" s="67"/>
      <c r="C2077" s="67"/>
      <c r="D2077" s="67"/>
    </row>
    <row r="2078" spans="2:4" x14ac:dyDescent="0.2">
      <c r="B2078" s="67"/>
      <c r="C2078" s="67"/>
      <c r="D2078" s="67"/>
    </row>
    <row r="2079" spans="2:4" x14ac:dyDescent="0.2">
      <c r="B2079" s="67"/>
      <c r="C2079" s="67"/>
      <c r="D2079" s="67"/>
    </row>
    <row r="2080" spans="2:4" x14ac:dyDescent="0.2">
      <c r="B2080" s="67"/>
      <c r="C2080" s="67"/>
      <c r="D2080" s="67"/>
    </row>
    <row r="2081" spans="2:4" x14ac:dyDescent="0.2">
      <c r="B2081" s="67"/>
      <c r="C2081" s="67"/>
      <c r="D2081" s="67"/>
    </row>
    <row r="2082" spans="2:4" x14ac:dyDescent="0.2">
      <c r="B2082" s="67"/>
      <c r="C2082" s="67"/>
      <c r="D2082" s="67"/>
    </row>
    <row r="2083" spans="2:4" x14ac:dyDescent="0.2">
      <c r="B2083" s="67"/>
      <c r="C2083" s="67"/>
      <c r="D2083" s="67"/>
    </row>
    <row r="2084" spans="2:4" x14ac:dyDescent="0.2">
      <c r="B2084" s="67"/>
      <c r="C2084" s="67"/>
      <c r="D2084" s="67"/>
    </row>
    <row r="2085" spans="2:4" x14ac:dyDescent="0.2">
      <c r="B2085" s="67"/>
      <c r="C2085" s="67"/>
      <c r="D2085" s="67"/>
    </row>
    <row r="2086" spans="2:4" x14ac:dyDescent="0.2">
      <c r="B2086" s="67"/>
      <c r="C2086" s="67"/>
      <c r="D2086" s="67"/>
    </row>
    <row r="2087" spans="2:4" x14ac:dyDescent="0.2">
      <c r="B2087" s="67"/>
      <c r="C2087" s="67"/>
      <c r="D2087" s="67"/>
    </row>
    <row r="2088" spans="2:4" x14ac:dyDescent="0.2">
      <c r="B2088" s="67"/>
      <c r="C2088" s="67"/>
      <c r="D2088" s="67"/>
    </row>
    <row r="2089" spans="2:4" x14ac:dyDescent="0.2">
      <c r="B2089" s="67"/>
      <c r="C2089" s="67"/>
      <c r="D2089" s="67"/>
    </row>
    <row r="2090" spans="2:4" x14ac:dyDescent="0.2">
      <c r="B2090" s="67"/>
      <c r="C2090" s="67"/>
      <c r="D2090" s="67"/>
    </row>
    <row r="2091" spans="2:4" x14ac:dyDescent="0.2">
      <c r="B2091" s="67"/>
      <c r="C2091" s="67"/>
      <c r="D2091" s="67"/>
    </row>
    <row r="2092" spans="2:4" x14ac:dyDescent="0.2">
      <c r="B2092" s="67"/>
      <c r="C2092" s="67"/>
      <c r="D2092" s="67"/>
    </row>
    <row r="2093" spans="2:4" x14ac:dyDescent="0.2">
      <c r="B2093" s="67"/>
      <c r="C2093" s="67"/>
      <c r="D2093" s="67"/>
    </row>
    <row r="2094" spans="2:4" x14ac:dyDescent="0.2">
      <c r="B2094" s="67"/>
      <c r="C2094" s="67"/>
      <c r="D2094" s="67"/>
    </row>
    <row r="2095" spans="2:4" x14ac:dyDescent="0.2">
      <c r="B2095" s="67"/>
      <c r="C2095" s="67"/>
      <c r="D2095" s="67"/>
    </row>
    <row r="2096" spans="2:4" x14ac:dyDescent="0.2">
      <c r="B2096" s="67"/>
      <c r="C2096" s="67"/>
      <c r="D2096" s="67"/>
    </row>
    <row r="2097" spans="2:4" x14ac:dyDescent="0.2">
      <c r="B2097" s="67"/>
      <c r="C2097" s="67"/>
      <c r="D2097" s="67"/>
    </row>
    <row r="2098" spans="2:4" x14ac:dyDescent="0.2">
      <c r="B2098" s="67"/>
      <c r="C2098" s="67"/>
      <c r="D2098" s="67"/>
    </row>
    <row r="2099" spans="2:4" x14ac:dyDescent="0.2">
      <c r="B2099" s="67"/>
      <c r="C2099" s="67"/>
      <c r="D2099" s="67"/>
    </row>
    <row r="2100" spans="2:4" x14ac:dyDescent="0.2">
      <c r="B2100" s="67"/>
      <c r="C2100" s="67"/>
      <c r="D2100" s="67"/>
    </row>
    <row r="2101" spans="2:4" x14ac:dyDescent="0.2">
      <c r="B2101" s="67"/>
      <c r="C2101" s="67"/>
      <c r="D2101" s="67"/>
    </row>
    <row r="2102" spans="2:4" x14ac:dyDescent="0.2">
      <c r="B2102" s="67"/>
      <c r="C2102" s="67"/>
      <c r="D2102" s="67"/>
    </row>
    <row r="2103" spans="2:4" x14ac:dyDescent="0.2">
      <c r="B2103" s="67"/>
      <c r="C2103" s="67"/>
      <c r="D2103" s="67"/>
    </row>
    <row r="2104" spans="2:4" x14ac:dyDescent="0.2">
      <c r="B2104" s="67"/>
      <c r="C2104" s="67"/>
      <c r="D2104" s="67"/>
    </row>
    <row r="2105" spans="2:4" x14ac:dyDescent="0.2">
      <c r="B2105" s="67"/>
      <c r="C2105" s="67"/>
      <c r="D2105" s="67"/>
    </row>
    <row r="2106" spans="2:4" x14ac:dyDescent="0.2">
      <c r="B2106" s="67"/>
      <c r="C2106" s="67"/>
      <c r="D2106" s="67"/>
    </row>
    <row r="2107" spans="2:4" x14ac:dyDescent="0.2">
      <c r="B2107" s="67"/>
      <c r="C2107" s="67"/>
      <c r="D2107" s="67"/>
    </row>
    <row r="2108" spans="2:4" x14ac:dyDescent="0.2">
      <c r="B2108" s="67"/>
      <c r="C2108" s="67"/>
      <c r="D2108" s="67"/>
    </row>
    <row r="2109" spans="2:4" x14ac:dyDescent="0.2">
      <c r="B2109" s="67"/>
      <c r="C2109" s="67"/>
      <c r="D2109" s="67"/>
    </row>
    <row r="2110" spans="2:4" x14ac:dyDescent="0.2">
      <c r="B2110" s="67"/>
      <c r="C2110" s="67"/>
      <c r="D2110" s="67"/>
    </row>
    <row r="2111" spans="2:4" x14ac:dyDescent="0.2">
      <c r="B2111" s="67"/>
      <c r="C2111" s="67"/>
      <c r="D2111" s="67"/>
    </row>
    <row r="2112" spans="2:4" x14ac:dyDescent="0.2">
      <c r="B2112" s="67"/>
      <c r="C2112" s="67"/>
      <c r="D2112" s="67"/>
    </row>
    <row r="2113" spans="2:4" x14ac:dyDescent="0.2">
      <c r="B2113" s="67"/>
      <c r="C2113" s="67"/>
      <c r="D2113" s="67"/>
    </row>
    <row r="2114" spans="2:4" x14ac:dyDescent="0.2">
      <c r="B2114" s="67"/>
      <c r="C2114" s="67"/>
      <c r="D2114" s="67"/>
    </row>
    <row r="2115" spans="2:4" x14ac:dyDescent="0.2">
      <c r="B2115" s="67"/>
      <c r="C2115" s="67"/>
      <c r="D2115" s="67"/>
    </row>
    <row r="2116" spans="2:4" x14ac:dyDescent="0.2">
      <c r="B2116" s="67"/>
      <c r="C2116" s="67"/>
      <c r="D2116" s="67"/>
    </row>
    <row r="2117" spans="2:4" x14ac:dyDescent="0.2">
      <c r="B2117" s="67"/>
      <c r="C2117" s="67"/>
      <c r="D2117" s="67"/>
    </row>
    <row r="2118" spans="2:4" x14ac:dyDescent="0.2">
      <c r="B2118" s="67"/>
      <c r="C2118" s="67"/>
      <c r="D2118" s="67"/>
    </row>
    <row r="2119" spans="2:4" x14ac:dyDescent="0.2">
      <c r="B2119" s="67"/>
      <c r="C2119" s="67"/>
      <c r="D2119" s="67"/>
    </row>
    <row r="2120" spans="2:4" x14ac:dyDescent="0.2">
      <c r="B2120" s="67"/>
      <c r="C2120" s="67"/>
      <c r="D2120" s="67"/>
    </row>
    <row r="2121" spans="2:4" x14ac:dyDescent="0.2">
      <c r="B2121" s="67"/>
      <c r="C2121" s="67"/>
      <c r="D2121" s="67"/>
    </row>
    <row r="2122" spans="2:4" x14ac:dyDescent="0.2">
      <c r="B2122" s="67"/>
      <c r="C2122" s="67"/>
      <c r="D2122" s="67"/>
    </row>
    <row r="2123" spans="2:4" x14ac:dyDescent="0.2">
      <c r="B2123" s="67"/>
      <c r="C2123" s="67"/>
      <c r="D2123" s="67"/>
    </row>
    <row r="2124" spans="2:4" x14ac:dyDescent="0.2">
      <c r="B2124" s="67"/>
      <c r="C2124" s="67"/>
      <c r="D2124" s="67"/>
    </row>
    <row r="2125" spans="2:4" x14ac:dyDescent="0.2">
      <c r="B2125" s="67"/>
      <c r="C2125" s="67"/>
      <c r="D2125" s="67"/>
    </row>
    <row r="2126" spans="2:4" x14ac:dyDescent="0.2">
      <c r="B2126" s="67"/>
      <c r="C2126" s="67"/>
      <c r="D2126" s="67"/>
    </row>
    <row r="2127" spans="2:4" x14ac:dyDescent="0.2">
      <c r="B2127" s="67"/>
      <c r="C2127" s="67"/>
      <c r="D2127" s="67"/>
    </row>
    <row r="2128" spans="2:4" x14ac:dyDescent="0.2">
      <c r="B2128" s="67"/>
      <c r="C2128" s="67"/>
      <c r="D2128" s="67"/>
    </row>
    <row r="2129" spans="2:4" x14ac:dyDescent="0.2">
      <c r="B2129" s="67"/>
      <c r="C2129" s="67"/>
      <c r="D2129" s="67"/>
    </row>
    <row r="2130" spans="2:4" x14ac:dyDescent="0.2">
      <c r="B2130" s="67"/>
      <c r="C2130" s="67"/>
      <c r="D2130" s="67"/>
    </row>
    <row r="2131" spans="2:4" x14ac:dyDescent="0.2">
      <c r="B2131" s="67"/>
      <c r="C2131" s="67"/>
      <c r="D2131" s="67"/>
    </row>
    <row r="2132" spans="2:4" x14ac:dyDescent="0.2">
      <c r="B2132" s="67"/>
      <c r="C2132" s="67"/>
      <c r="D2132" s="67"/>
    </row>
    <row r="2133" spans="2:4" x14ac:dyDescent="0.2">
      <c r="B2133" s="67"/>
      <c r="C2133" s="67"/>
      <c r="D2133" s="67"/>
    </row>
    <row r="2134" spans="2:4" x14ac:dyDescent="0.2">
      <c r="B2134" s="67"/>
      <c r="C2134" s="67"/>
      <c r="D2134" s="67"/>
    </row>
    <row r="2135" spans="2:4" x14ac:dyDescent="0.2">
      <c r="B2135" s="67"/>
      <c r="C2135" s="67"/>
      <c r="D2135" s="67"/>
    </row>
    <row r="2136" spans="2:4" x14ac:dyDescent="0.2">
      <c r="B2136" s="67"/>
      <c r="C2136" s="67"/>
      <c r="D2136" s="67"/>
    </row>
    <row r="2137" spans="2:4" x14ac:dyDescent="0.2">
      <c r="B2137" s="67"/>
      <c r="C2137" s="67"/>
      <c r="D2137" s="67"/>
    </row>
    <row r="2138" spans="2:4" x14ac:dyDescent="0.2">
      <c r="B2138" s="67"/>
      <c r="C2138" s="67"/>
      <c r="D2138" s="67"/>
    </row>
    <row r="2139" spans="2:4" x14ac:dyDescent="0.2">
      <c r="B2139" s="67"/>
      <c r="C2139" s="67"/>
      <c r="D2139" s="67"/>
    </row>
    <row r="2140" spans="2:4" x14ac:dyDescent="0.2">
      <c r="B2140" s="67"/>
      <c r="C2140" s="67"/>
      <c r="D2140" s="67"/>
    </row>
    <row r="2141" spans="2:4" x14ac:dyDescent="0.2">
      <c r="B2141" s="67"/>
      <c r="C2141" s="67"/>
      <c r="D2141" s="67"/>
    </row>
    <row r="2142" spans="2:4" x14ac:dyDescent="0.2">
      <c r="B2142" s="67"/>
      <c r="C2142" s="67"/>
      <c r="D2142" s="67"/>
    </row>
    <row r="2143" spans="2:4" x14ac:dyDescent="0.2">
      <c r="B2143" s="67"/>
      <c r="C2143" s="67"/>
      <c r="D2143" s="67"/>
    </row>
    <row r="2144" spans="2:4" x14ac:dyDescent="0.2">
      <c r="B2144" s="67"/>
      <c r="C2144" s="67"/>
      <c r="D2144" s="67"/>
    </row>
    <row r="2145" spans="2:4" x14ac:dyDescent="0.2">
      <c r="B2145" s="67"/>
      <c r="C2145" s="67"/>
      <c r="D2145" s="67"/>
    </row>
    <row r="2146" spans="2:4" x14ac:dyDescent="0.2">
      <c r="B2146" s="67"/>
      <c r="C2146" s="67"/>
      <c r="D2146" s="67"/>
    </row>
    <row r="2147" spans="2:4" x14ac:dyDescent="0.2">
      <c r="B2147" s="67"/>
      <c r="C2147" s="67"/>
      <c r="D2147" s="67"/>
    </row>
    <row r="2148" spans="2:4" x14ac:dyDescent="0.2">
      <c r="B2148" s="67"/>
      <c r="C2148" s="67"/>
      <c r="D2148" s="67"/>
    </row>
    <row r="2149" spans="2:4" x14ac:dyDescent="0.2">
      <c r="B2149" s="67"/>
      <c r="C2149" s="67"/>
      <c r="D2149" s="67"/>
    </row>
    <row r="2150" spans="2:4" x14ac:dyDescent="0.2">
      <c r="B2150" s="67"/>
      <c r="C2150" s="67"/>
      <c r="D2150" s="67"/>
    </row>
    <row r="2151" spans="2:4" x14ac:dyDescent="0.2">
      <c r="B2151" s="67"/>
      <c r="C2151" s="67"/>
      <c r="D2151" s="67"/>
    </row>
    <row r="2152" spans="2:4" x14ac:dyDescent="0.2">
      <c r="B2152" s="67"/>
      <c r="C2152" s="67"/>
      <c r="D2152" s="67"/>
    </row>
    <row r="2153" spans="2:4" x14ac:dyDescent="0.2">
      <c r="B2153" s="67"/>
      <c r="C2153" s="67"/>
      <c r="D2153" s="67"/>
    </row>
    <row r="2154" spans="2:4" x14ac:dyDescent="0.2">
      <c r="B2154" s="67"/>
      <c r="C2154" s="67"/>
      <c r="D2154" s="67"/>
    </row>
    <row r="2155" spans="2:4" x14ac:dyDescent="0.2">
      <c r="B2155" s="67"/>
      <c r="C2155" s="67"/>
      <c r="D2155" s="67"/>
    </row>
    <row r="2156" spans="2:4" x14ac:dyDescent="0.2">
      <c r="B2156" s="67"/>
      <c r="C2156" s="67"/>
      <c r="D2156" s="67"/>
    </row>
    <row r="2157" spans="2:4" x14ac:dyDescent="0.2">
      <c r="B2157" s="67"/>
      <c r="C2157" s="67"/>
      <c r="D2157" s="67"/>
    </row>
    <row r="2158" spans="2:4" x14ac:dyDescent="0.2">
      <c r="B2158" s="67"/>
      <c r="C2158" s="67"/>
      <c r="D2158" s="67"/>
    </row>
    <row r="2159" spans="2:4" x14ac:dyDescent="0.2">
      <c r="B2159" s="67"/>
      <c r="C2159" s="67"/>
      <c r="D2159" s="67"/>
    </row>
    <row r="2160" spans="2:4" x14ac:dyDescent="0.2">
      <c r="B2160" s="67"/>
      <c r="C2160" s="67"/>
      <c r="D2160" s="67"/>
    </row>
    <row r="2161" spans="2:4" x14ac:dyDescent="0.2">
      <c r="B2161" s="67"/>
      <c r="C2161" s="67"/>
      <c r="D2161" s="67"/>
    </row>
    <row r="2162" spans="2:4" x14ac:dyDescent="0.2">
      <c r="B2162" s="67"/>
      <c r="C2162" s="67"/>
      <c r="D2162" s="67"/>
    </row>
    <row r="2163" spans="2:4" x14ac:dyDescent="0.2">
      <c r="B2163" s="67"/>
      <c r="C2163" s="67"/>
      <c r="D2163" s="67"/>
    </row>
    <row r="2164" spans="2:4" x14ac:dyDescent="0.2">
      <c r="B2164" s="67"/>
      <c r="C2164" s="67"/>
      <c r="D2164" s="67"/>
    </row>
    <row r="2165" spans="2:4" x14ac:dyDescent="0.2">
      <c r="B2165" s="67"/>
      <c r="C2165" s="67"/>
      <c r="D2165" s="67"/>
    </row>
    <row r="2166" spans="2:4" x14ac:dyDescent="0.2">
      <c r="B2166" s="67"/>
      <c r="C2166" s="67"/>
      <c r="D2166" s="67"/>
    </row>
    <row r="2167" spans="2:4" x14ac:dyDescent="0.2">
      <c r="B2167" s="67"/>
      <c r="C2167" s="67"/>
      <c r="D2167" s="67"/>
    </row>
    <row r="2168" spans="2:4" x14ac:dyDescent="0.2">
      <c r="B2168" s="67"/>
      <c r="C2168" s="67"/>
      <c r="D2168" s="67"/>
    </row>
    <row r="2169" spans="2:4" x14ac:dyDescent="0.2">
      <c r="B2169" s="67"/>
      <c r="C2169" s="67"/>
      <c r="D2169" s="67"/>
    </row>
    <row r="2170" spans="2:4" x14ac:dyDescent="0.2">
      <c r="B2170" s="67"/>
      <c r="C2170" s="67"/>
      <c r="D2170" s="67"/>
    </row>
    <row r="2171" spans="2:4" x14ac:dyDescent="0.2">
      <c r="B2171" s="67"/>
      <c r="C2171" s="67"/>
      <c r="D2171" s="67"/>
    </row>
    <row r="2172" spans="2:4" x14ac:dyDescent="0.2">
      <c r="B2172" s="67"/>
      <c r="C2172" s="67"/>
      <c r="D2172" s="67"/>
    </row>
    <row r="2173" spans="2:4" x14ac:dyDescent="0.2">
      <c r="B2173" s="67"/>
      <c r="C2173" s="67"/>
      <c r="D2173" s="67"/>
    </row>
    <row r="2174" spans="2:4" x14ac:dyDescent="0.2">
      <c r="B2174" s="67"/>
      <c r="C2174" s="67"/>
      <c r="D2174" s="67"/>
    </row>
    <row r="2175" spans="2:4" x14ac:dyDescent="0.2">
      <c r="B2175" s="67"/>
      <c r="C2175" s="67"/>
      <c r="D2175" s="67"/>
    </row>
    <row r="2176" spans="2:4" x14ac:dyDescent="0.2">
      <c r="B2176" s="67"/>
      <c r="C2176" s="67"/>
      <c r="D2176" s="67"/>
    </row>
    <row r="2177" spans="2:4" x14ac:dyDescent="0.2">
      <c r="B2177" s="67"/>
      <c r="C2177" s="67"/>
      <c r="D2177" s="67"/>
    </row>
    <row r="2178" spans="2:4" x14ac:dyDescent="0.2">
      <c r="B2178" s="67"/>
      <c r="C2178" s="67"/>
      <c r="D2178" s="67"/>
    </row>
    <row r="2179" spans="2:4" x14ac:dyDescent="0.2">
      <c r="B2179" s="67"/>
      <c r="C2179" s="67"/>
      <c r="D2179" s="67"/>
    </row>
    <row r="2180" spans="2:4" x14ac:dyDescent="0.2">
      <c r="B2180" s="67"/>
      <c r="C2180" s="67"/>
      <c r="D2180" s="67"/>
    </row>
    <row r="2181" spans="2:4" x14ac:dyDescent="0.2">
      <c r="B2181" s="67"/>
      <c r="C2181" s="67"/>
      <c r="D2181" s="67"/>
    </row>
    <row r="2182" spans="2:4" x14ac:dyDescent="0.2">
      <c r="B2182" s="67"/>
      <c r="C2182" s="67"/>
      <c r="D2182" s="67"/>
    </row>
    <row r="2183" spans="2:4" x14ac:dyDescent="0.2">
      <c r="B2183" s="67"/>
      <c r="C2183" s="67"/>
      <c r="D2183" s="67"/>
    </row>
    <row r="2184" spans="2:4" x14ac:dyDescent="0.2">
      <c r="B2184" s="67"/>
      <c r="C2184" s="67"/>
      <c r="D2184" s="67"/>
    </row>
    <row r="2185" spans="2:4" x14ac:dyDescent="0.2">
      <c r="B2185" s="67"/>
      <c r="C2185" s="67"/>
      <c r="D2185" s="67"/>
    </row>
    <row r="2186" spans="2:4" x14ac:dyDescent="0.2">
      <c r="B2186" s="67"/>
      <c r="C2186" s="67"/>
      <c r="D2186" s="67"/>
    </row>
    <row r="2187" spans="2:4" x14ac:dyDescent="0.2">
      <c r="B2187" s="67"/>
      <c r="C2187" s="67"/>
      <c r="D2187" s="67"/>
    </row>
    <row r="2188" spans="2:4" x14ac:dyDescent="0.2">
      <c r="B2188" s="67"/>
      <c r="C2188" s="67"/>
      <c r="D2188" s="67"/>
    </row>
    <row r="2189" spans="2:4" x14ac:dyDescent="0.2">
      <c r="B2189" s="67"/>
      <c r="C2189" s="67"/>
      <c r="D2189" s="67"/>
    </row>
    <row r="2190" spans="2:4" x14ac:dyDescent="0.2">
      <c r="B2190" s="67"/>
      <c r="C2190" s="67"/>
      <c r="D2190" s="67"/>
    </row>
    <row r="2191" spans="2:4" x14ac:dyDescent="0.2">
      <c r="B2191" s="67"/>
      <c r="C2191" s="67"/>
      <c r="D2191" s="67"/>
    </row>
    <row r="2192" spans="2:4" x14ac:dyDescent="0.2">
      <c r="B2192" s="67"/>
      <c r="C2192" s="67"/>
      <c r="D2192" s="67"/>
    </row>
    <row r="2193" spans="2:4" x14ac:dyDescent="0.2">
      <c r="B2193" s="67"/>
      <c r="C2193" s="67"/>
      <c r="D2193" s="67"/>
    </row>
    <row r="2194" spans="2:4" x14ac:dyDescent="0.2">
      <c r="B2194" s="67"/>
      <c r="C2194" s="67"/>
      <c r="D2194" s="67"/>
    </row>
    <row r="2195" spans="2:4" x14ac:dyDescent="0.2">
      <c r="B2195" s="67"/>
      <c r="C2195" s="67"/>
      <c r="D2195" s="67"/>
    </row>
    <row r="2196" spans="2:4" x14ac:dyDescent="0.2">
      <c r="B2196" s="67"/>
      <c r="C2196" s="67"/>
      <c r="D2196" s="67"/>
    </row>
    <row r="2197" spans="2:4" x14ac:dyDescent="0.2">
      <c r="B2197" s="67"/>
      <c r="C2197" s="67"/>
      <c r="D2197" s="67"/>
    </row>
    <row r="2198" spans="2:4" x14ac:dyDescent="0.2">
      <c r="B2198" s="67"/>
      <c r="C2198" s="67"/>
      <c r="D2198" s="67"/>
    </row>
    <row r="2199" spans="2:4" x14ac:dyDescent="0.2">
      <c r="B2199" s="67"/>
      <c r="C2199" s="67"/>
      <c r="D2199" s="67"/>
    </row>
    <row r="2200" spans="2:4" x14ac:dyDescent="0.2">
      <c r="B2200" s="67"/>
      <c r="C2200" s="67"/>
      <c r="D2200" s="67"/>
    </row>
    <row r="2201" spans="2:4" x14ac:dyDescent="0.2">
      <c r="B2201" s="67"/>
      <c r="C2201" s="67"/>
      <c r="D2201" s="67"/>
    </row>
    <row r="2202" spans="2:4" x14ac:dyDescent="0.2">
      <c r="B2202" s="67"/>
      <c r="C2202" s="67"/>
      <c r="D2202" s="67"/>
    </row>
    <row r="2203" spans="2:4" x14ac:dyDescent="0.2">
      <c r="B2203" s="67"/>
      <c r="C2203" s="67"/>
      <c r="D2203" s="67"/>
    </row>
    <row r="2204" spans="2:4" x14ac:dyDescent="0.2">
      <c r="B2204" s="67"/>
      <c r="C2204" s="67"/>
      <c r="D2204" s="67"/>
    </row>
    <row r="2205" spans="2:4" x14ac:dyDescent="0.2">
      <c r="B2205" s="67"/>
      <c r="C2205" s="67"/>
      <c r="D2205" s="67"/>
    </row>
    <row r="2206" spans="2:4" x14ac:dyDescent="0.2">
      <c r="B2206" s="67"/>
      <c r="C2206" s="67"/>
      <c r="D2206" s="67"/>
    </row>
    <row r="2207" spans="2:4" x14ac:dyDescent="0.2">
      <c r="B2207" s="67"/>
      <c r="C2207" s="67"/>
      <c r="D2207" s="67"/>
    </row>
    <row r="2208" spans="2:4" x14ac:dyDescent="0.2">
      <c r="B2208" s="67"/>
      <c r="C2208" s="67"/>
      <c r="D2208" s="67"/>
    </row>
    <row r="2209" spans="2:4" x14ac:dyDescent="0.2">
      <c r="B2209" s="67"/>
      <c r="C2209" s="67"/>
      <c r="D2209" s="67"/>
    </row>
    <row r="2210" spans="2:4" x14ac:dyDescent="0.2">
      <c r="B2210" s="67"/>
      <c r="C2210" s="67"/>
      <c r="D2210" s="67"/>
    </row>
    <row r="2211" spans="2:4" x14ac:dyDescent="0.2">
      <c r="B2211" s="67"/>
      <c r="C2211" s="67"/>
      <c r="D2211" s="67"/>
    </row>
    <row r="2212" spans="2:4" x14ac:dyDescent="0.2">
      <c r="B2212" s="67"/>
      <c r="C2212" s="67"/>
      <c r="D2212" s="67"/>
    </row>
    <row r="2213" spans="2:4" x14ac:dyDescent="0.2">
      <c r="B2213" s="67"/>
      <c r="C2213" s="67"/>
      <c r="D2213" s="67"/>
    </row>
    <row r="2214" spans="2:4" x14ac:dyDescent="0.2">
      <c r="B2214" s="67"/>
      <c r="C2214" s="67"/>
      <c r="D2214" s="67"/>
    </row>
    <row r="2215" spans="2:4" x14ac:dyDescent="0.2">
      <c r="B2215" s="67"/>
      <c r="C2215" s="67"/>
      <c r="D2215" s="67"/>
    </row>
    <row r="2216" spans="2:4" x14ac:dyDescent="0.2">
      <c r="B2216" s="67"/>
      <c r="C2216" s="67"/>
      <c r="D2216" s="67"/>
    </row>
    <row r="2217" spans="2:4" x14ac:dyDescent="0.2">
      <c r="B2217" s="67"/>
      <c r="C2217" s="67"/>
      <c r="D2217" s="67"/>
    </row>
    <row r="2218" spans="2:4" x14ac:dyDescent="0.2">
      <c r="B2218" s="67"/>
      <c r="C2218" s="67"/>
      <c r="D2218" s="67"/>
    </row>
    <row r="2219" spans="2:4" x14ac:dyDescent="0.2">
      <c r="B2219" s="67"/>
      <c r="C2219" s="67"/>
      <c r="D2219" s="67"/>
    </row>
    <row r="2220" spans="2:4" x14ac:dyDescent="0.2">
      <c r="B2220" s="67"/>
      <c r="C2220" s="67"/>
      <c r="D2220" s="67"/>
    </row>
    <row r="2221" spans="2:4" x14ac:dyDescent="0.2">
      <c r="B2221" s="67"/>
      <c r="C2221" s="67"/>
      <c r="D2221" s="67"/>
    </row>
    <row r="2222" spans="2:4" x14ac:dyDescent="0.2">
      <c r="B2222" s="67"/>
      <c r="C2222" s="67"/>
      <c r="D2222" s="67"/>
    </row>
    <row r="2223" spans="2:4" x14ac:dyDescent="0.2">
      <c r="B2223" s="67"/>
      <c r="C2223" s="67"/>
      <c r="D2223" s="67"/>
    </row>
    <row r="2224" spans="2:4" x14ac:dyDescent="0.2">
      <c r="B2224" s="67"/>
      <c r="C2224" s="67"/>
      <c r="D2224" s="67"/>
    </row>
    <row r="2225" spans="2:4" x14ac:dyDescent="0.2">
      <c r="B2225" s="67"/>
      <c r="C2225" s="67"/>
      <c r="D2225" s="67"/>
    </row>
    <row r="2226" spans="2:4" x14ac:dyDescent="0.2">
      <c r="B2226" s="67"/>
      <c r="C2226" s="67"/>
      <c r="D2226" s="67"/>
    </row>
    <row r="2227" spans="2:4" x14ac:dyDescent="0.2">
      <c r="B2227" s="67"/>
      <c r="C2227" s="67"/>
      <c r="D2227" s="67"/>
    </row>
    <row r="2228" spans="2:4" x14ac:dyDescent="0.2">
      <c r="B2228" s="67"/>
      <c r="C2228" s="67"/>
      <c r="D2228" s="67"/>
    </row>
    <row r="2229" spans="2:4" x14ac:dyDescent="0.2">
      <c r="B2229" s="67"/>
      <c r="C2229" s="67"/>
      <c r="D2229" s="67"/>
    </row>
    <row r="2230" spans="2:4" x14ac:dyDescent="0.2">
      <c r="B2230" s="67"/>
      <c r="C2230" s="67"/>
      <c r="D2230" s="67"/>
    </row>
    <row r="2231" spans="2:4" x14ac:dyDescent="0.2">
      <c r="B2231" s="67"/>
      <c r="C2231" s="67"/>
      <c r="D2231" s="67"/>
    </row>
    <row r="2232" spans="2:4" x14ac:dyDescent="0.2">
      <c r="B2232" s="67"/>
      <c r="C2232" s="67"/>
      <c r="D2232" s="67"/>
    </row>
    <row r="2233" spans="2:4" x14ac:dyDescent="0.2">
      <c r="B2233" s="67"/>
      <c r="C2233" s="67"/>
      <c r="D2233" s="67"/>
    </row>
    <row r="2234" spans="2:4" x14ac:dyDescent="0.2">
      <c r="B2234" s="67"/>
      <c r="C2234" s="67"/>
      <c r="D2234" s="67"/>
    </row>
    <row r="2235" spans="2:4" x14ac:dyDescent="0.2">
      <c r="B2235" s="67"/>
      <c r="C2235" s="67"/>
      <c r="D2235" s="67"/>
    </row>
    <row r="2236" spans="2:4" x14ac:dyDescent="0.2">
      <c r="B2236" s="67"/>
      <c r="C2236" s="67"/>
      <c r="D2236" s="67"/>
    </row>
    <row r="2237" spans="2:4" x14ac:dyDescent="0.2">
      <c r="B2237" s="67"/>
      <c r="C2237" s="67"/>
      <c r="D2237" s="67"/>
    </row>
    <row r="2238" spans="2:4" x14ac:dyDescent="0.2">
      <c r="B2238" s="67"/>
      <c r="C2238" s="67"/>
      <c r="D2238" s="67"/>
    </row>
    <row r="2239" spans="2:4" x14ac:dyDescent="0.2">
      <c r="B2239" s="67"/>
      <c r="C2239" s="67"/>
      <c r="D2239" s="67"/>
    </row>
    <row r="2240" spans="2:4" x14ac:dyDescent="0.2">
      <c r="B2240" s="67"/>
      <c r="C2240" s="67"/>
      <c r="D2240" s="67"/>
    </row>
    <row r="2241" spans="2:4" x14ac:dyDescent="0.2">
      <c r="B2241" s="67"/>
      <c r="C2241" s="67"/>
      <c r="D2241" s="67"/>
    </row>
    <row r="2242" spans="2:4" x14ac:dyDescent="0.2">
      <c r="B2242" s="67"/>
      <c r="C2242" s="67"/>
      <c r="D2242" s="67"/>
    </row>
    <row r="2243" spans="2:4" x14ac:dyDescent="0.2">
      <c r="B2243" s="67"/>
      <c r="C2243" s="67"/>
      <c r="D2243" s="67"/>
    </row>
    <row r="2244" spans="2:4" x14ac:dyDescent="0.2">
      <c r="B2244" s="67"/>
      <c r="C2244" s="67"/>
      <c r="D2244" s="67"/>
    </row>
    <row r="2245" spans="2:4" x14ac:dyDescent="0.2">
      <c r="B2245" s="67"/>
      <c r="C2245" s="67"/>
      <c r="D2245" s="67"/>
    </row>
    <row r="2246" spans="2:4" x14ac:dyDescent="0.2">
      <c r="B2246" s="67"/>
      <c r="C2246" s="67"/>
      <c r="D2246" s="67"/>
    </row>
    <row r="2247" spans="2:4" x14ac:dyDescent="0.2">
      <c r="B2247" s="67"/>
      <c r="C2247" s="67"/>
      <c r="D2247" s="67"/>
    </row>
    <row r="2248" spans="2:4" x14ac:dyDescent="0.2">
      <c r="B2248" s="67"/>
      <c r="C2248" s="67"/>
      <c r="D2248" s="67"/>
    </row>
    <row r="2249" spans="2:4" x14ac:dyDescent="0.2">
      <c r="B2249" s="67"/>
      <c r="C2249" s="67"/>
      <c r="D2249" s="67"/>
    </row>
    <row r="2250" spans="2:4" x14ac:dyDescent="0.2">
      <c r="B2250" s="67"/>
      <c r="C2250" s="67"/>
      <c r="D2250" s="67"/>
    </row>
    <row r="2251" spans="2:4" x14ac:dyDescent="0.2">
      <c r="B2251" s="67"/>
      <c r="C2251" s="67"/>
      <c r="D2251" s="67"/>
    </row>
    <row r="2252" spans="2:4" x14ac:dyDescent="0.2">
      <c r="B2252" s="67"/>
      <c r="C2252" s="67"/>
      <c r="D2252" s="67"/>
    </row>
    <row r="2253" spans="2:4" x14ac:dyDescent="0.2">
      <c r="B2253" s="67"/>
      <c r="C2253" s="67"/>
      <c r="D2253" s="67"/>
    </row>
    <row r="2254" spans="2:4" x14ac:dyDescent="0.2">
      <c r="B2254" s="67"/>
      <c r="C2254" s="67"/>
      <c r="D2254" s="67"/>
    </row>
    <row r="2255" spans="2:4" x14ac:dyDescent="0.2">
      <c r="B2255" s="67"/>
      <c r="C2255" s="67"/>
      <c r="D2255" s="67"/>
    </row>
    <row r="2256" spans="2:4" x14ac:dyDescent="0.2">
      <c r="B2256" s="67"/>
      <c r="C2256" s="67"/>
      <c r="D2256" s="67"/>
    </row>
    <row r="2257" spans="2:4" x14ac:dyDescent="0.2">
      <c r="B2257" s="67"/>
      <c r="C2257" s="67"/>
      <c r="D2257" s="67"/>
    </row>
    <row r="2258" spans="2:4" x14ac:dyDescent="0.2">
      <c r="B2258" s="67"/>
      <c r="C2258" s="67"/>
      <c r="D2258" s="67"/>
    </row>
    <row r="2259" spans="2:4" x14ac:dyDescent="0.2">
      <c r="B2259" s="67"/>
      <c r="C2259" s="67"/>
      <c r="D2259" s="67"/>
    </row>
    <row r="2260" spans="2:4" x14ac:dyDescent="0.2">
      <c r="B2260" s="67"/>
      <c r="C2260" s="67"/>
      <c r="D2260" s="67"/>
    </row>
    <row r="2261" spans="2:4" x14ac:dyDescent="0.2">
      <c r="B2261" s="67"/>
      <c r="C2261" s="67"/>
      <c r="D2261" s="67"/>
    </row>
    <row r="2262" spans="2:4" x14ac:dyDescent="0.2">
      <c r="B2262" s="67"/>
      <c r="C2262" s="67"/>
      <c r="D2262" s="67"/>
    </row>
    <row r="2263" spans="2:4" x14ac:dyDescent="0.2">
      <c r="B2263" s="67"/>
      <c r="C2263" s="67"/>
      <c r="D2263" s="67"/>
    </row>
    <row r="2264" spans="2:4" x14ac:dyDescent="0.2">
      <c r="B2264" s="67"/>
      <c r="C2264" s="67"/>
      <c r="D2264" s="67"/>
    </row>
    <row r="2265" spans="2:4" x14ac:dyDescent="0.2">
      <c r="B2265" s="67"/>
      <c r="C2265" s="67"/>
      <c r="D2265" s="67"/>
    </row>
    <row r="2266" spans="2:4" x14ac:dyDescent="0.2">
      <c r="B2266" s="67"/>
      <c r="C2266" s="67"/>
      <c r="D2266" s="67"/>
    </row>
    <row r="2267" spans="2:4" x14ac:dyDescent="0.2">
      <c r="B2267" s="67"/>
      <c r="C2267" s="67"/>
      <c r="D2267" s="67"/>
    </row>
    <row r="2268" spans="2:4" x14ac:dyDescent="0.2">
      <c r="B2268" s="67"/>
      <c r="C2268" s="67"/>
      <c r="D2268" s="67"/>
    </row>
    <row r="2269" spans="2:4" x14ac:dyDescent="0.2">
      <c r="B2269" s="67"/>
      <c r="C2269" s="67"/>
      <c r="D2269" s="67"/>
    </row>
    <row r="2270" spans="2:4" x14ac:dyDescent="0.2">
      <c r="B2270" s="67"/>
      <c r="C2270" s="67"/>
      <c r="D2270" s="67"/>
    </row>
    <row r="2271" spans="2:4" x14ac:dyDescent="0.2">
      <c r="B2271" s="67"/>
      <c r="C2271" s="67"/>
      <c r="D2271" s="67"/>
    </row>
    <row r="2272" spans="2:4" x14ac:dyDescent="0.2">
      <c r="B2272" s="67"/>
      <c r="C2272" s="67"/>
      <c r="D2272" s="67"/>
    </row>
    <row r="2273" spans="2:4" x14ac:dyDescent="0.2">
      <c r="B2273" s="67"/>
      <c r="C2273" s="67"/>
      <c r="D2273" s="67"/>
    </row>
    <row r="2274" spans="2:4" x14ac:dyDescent="0.2">
      <c r="B2274" s="67"/>
      <c r="C2274" s="67"/>
      <c r="D2274" s="67"/>
    </row>
    <row r="2275" spans="2:4" x14ac:dyDescent="0.2">
      <c r="B2275" s="67"/>
      <c r="C2275" s="67"/>
      <c r="D2275" s="67"/>
    </row>
    <row r="2276" spans="2:4" x14ac:dyDescent="0.2">
      <c r="B2276" s="67"/>
      <c r="C2276" s="67"/>
      <c r="D2276" s="67"/>
    </row>
    <row r="2277" spans="2:4" x14ac:dyDescent="0.2">
      <c r="B2277" s="67"/>
      <c r="C2277" s="67"/>
      <c r="D2277" s="67"/>
    </row>
    <row r="2278" spans="2:4" x14ac:dyDescent="0.2">
      <c r="B2278" s="67"/>
      <c r="C2278" s="67"/>
      <c r="D2278" s="67"/>
    </row>
    <row r="2279" spans="2:4" x14ac:dyDescent="0.2">
      <c r="B2279" s="67"/>
      <c r="C2279" s="67"/>
      <c r="D2279" s="67"/>
    </row>
    <row r="2280" spans="2:4" x14ac:dyDescent="0.2">
      <c r="B2280" s="67"/>
      <c r="C2280" s="67"/>
      <c r="D2280" s="67"/>
    </row>
    <row r="2281" spans="2:4" x14ac:dyDescent="0.2">
      <c r="B2281" s="67"/>
      <c r="C2281" s="67"/>
      <c r="D2281" s="67"/>
    </row>
    <row r="2282" spans="2:4" x14ac:dyDescent="0.2">
      <c r="B2282" s="67"/>
      <c r="C2282" s="67"/>
      <c r="D2282" s="67"/>
    </row>
    <row r="2283" spans="2:4" x14ac:dyDescent="0.2">
      <c r="B2283" s="67"/>
      <c r="C2283" s="67"/>
      <c r="D2283" s="67"/>
    </row>
    <row r="2284" spans="2:4" x14ac:dyDescent="0.2">
      <c r="B2284" s="67"/>
      <c r="C2284" s="67"/>
      <c r="D2284" s="67"/>
    </row>
    <row r="2285" spans="2:4" x14ac:dyDescent="0.2">
      <c r="B2285" s="67"/>
      <c r="C2285" s="67"/>
      <c r="D2285" s="67"/>
    </row>
    <row r="2286" spans="2:4" x14ac:dyDescent="0.2">
      <c r="B2286" s="67"/>
      <c r="C2286" s="67"/>
      <c r="D2286" s="67"/>
    </row>
    <row r="2287" spans="2:4" x14ac:dyDescent="0.2">
      <c r="B2287" s="67"/>
      <c r="C2287" s="67"/>
      <c r="D2287" s="67"/>
    </row>
    <row r="2288" spans="2:4" x14ac:dyDescent="0.2">
      <c r="B2288" s="67"/>
      <c r="C2288" s="67"/>
      <c r="D2288" s="67"/>
    </row>
    <row r="2289" spans="2:4" x14ac:dyDescent="0.2">
      <c r="B2289" s="67"/>
      <c r="C2289" s="67"/>
      <c r="D2289" s="67"/>
    </row>
    <row r="2290" spans="2:4" x14ac:dyDescent="0.2">
      <c r="B2290" s="67"/>
      <c r="C2290" s="67"/>
      <c r="D2290" s="67"/>
    </row>
    <row r="2291" spans="2:4" x14ac:dyDescent="0.2">
      <c r="B2291" s="67"/>
      <c r="C2291" s="67"/>
      <c r="D2291" s="67"/>
    </row>
    <row r="2292" spans="2:4" x14ac:dyDescent="0.2">
      <c r="B2292" s="67"/>
      <c r="C2292" s="67"/>
      <c r="D2292" s="67"/>
    </row>
    <row r="2293" spans="2:4" x14ac:dyDescent="0.2">
      <c r="B2293" s="67"/>
      <c r="C2293" s="67"/>
      <c r="D2293" s="67"/>
    </row>
    <row r="2294" spans="2:4" x14ac:dyDescent="0.2">
      <c r="B2294" s="67"/>
      <c r="C2294" s="67"/>
      <c r="D2294" s="67"/>
    </row>
    <row r="2295" spans="2:4" x14ac:dyDescent="0.2">
      <c r="B2295" s="67"/>
      <c r="C2295" s="67"/>
      <c r="D2295" s="67"/>
    </row>
    <row r="2296" spans="2:4" x14ac:dyDescent="0.2">
      <c r="B2296" s="67"/>
      <c r="C2296" s="67"/>
      <c r="D2296" s="67"/>
    </row>
    <row r="2297" spans="2:4" x14ac:dyDescent="0.2">
      <c r="B2297" s="67"/>
      <c r="C2297" s="67"/>
      <c r="D2297" s="67"/>
    </row>
    <row r="2298" spans="2:4" x14ac:dyDescent="0.2">
      <c r="B2298" s="67"/>
      <c r="C2298" s="67"/>
      <c r="D2298" s="67"/>
    </row>
    <row r="2299" spans="2:4" x14ac:dyDescent="0.2">
      <c r="B2299" s="67"/>
      <c r="C2299" s="67"/>
      <c r="D2299" s="67"/>
    </row>
    <row r="2300" spans="2:4" x14ac:dyDescent="0.2">
      <c r="B2300" s="67"/>
      <c r="C2300" s="67"/>
      <c r="D2300" s="67"/>
    </row>
    <row r="2301" spans="2:4" x14ac:dyDescent="0.2">
      <c r="B2301" s="67"/>
      <c r="C2301" s="67"/>
      <c r="D2301" s="67"/>
    </row>
    <row r="2302" spans="2:4" x14ac:dyDescent="0.2">
      <c r="B2302" s="67"/>
      <c r="C2302" s="67"/>
      <c r="D2302" s="67"/>
    </row>
    <row r="2303" spans="2:4" x14ac:dyDescent="0.2">
      <c r="B2303" s="67"/>
      <c r="C2303" s="67"/>
      <c r="D2303" s="67"/>
    </row>
    <row r="2304" spans="2:4" x14ac:dyDescent="0.2">
      <c r="B2304" s="67"/>
      <c r="C2304" s="67"/>
      <c r="D2304" s="67"/>
    </row>
    <row r="2305" spans="2:4" x14ac:dyDescent="0.2">
      <c r="B2305" s="67"/>
      <c r="C2305" s="67"/>
      <c r="D2305" s="67"/>
    </row>
    <row r="2306" spans="2:4" x14ac:dyDescent="0.2">
      <c r="B2306" s="67"/>
      <c r="C2306" s="67"/>
      <c r="D2306" s="67"/>
    </row>
    <row r="2307" spans="2:4" x14ac:dyDescent="0.2">
      <c r="B2307" s="67"/>
      <c r="C2307" s="67"/>
      <c r="D2307" s="67"/>
    </row>
    <row r="2308" spans="2:4" x14ac:dyDescent="0.2">
      <c r="B2308" s="67"/>
      <c r="C2308" s="67"/>
      <c r="D2308" s="67"/>
    </row>
    <row r="2309" spans="2:4" x14ac:dyDescent="0.2">
      <c r="B2309" s="67"/>
      <c r="C2309" s="67"/>
      <c r="D2309" s="67"/>
    </row>
    <row r="2310" spans="2:4" x14ac:dyDescent="0.2">
      <c r="B2310" s="67"/>
      <c r="C2310" s="67"/>
      <c r="D2310" s="67"/>
    </row>
    <row r="2311" spans="2:4" x14ac:dyDescent="0.2">
      <c r="B2311" s="67"/>
      <c r="C2311" s="67"/>
      <c r="D2311" s="67"/>
    </row>
    <row r="2312" spans="2:4" x14ac:dyDescent="0.2">
      <c r="B2312" s="67"/>
      <c r="C2312" s="67"/>
      <c r="D2312" s="67"/>
    </row>
    <row r="2313" spans="2:4" x14ac:dyDescent="0.2">
      <c r="B2313" s="67"/>
      <c r="C2313" s="67"/>
      <c r="D2313" s="67"/>
    </row>
    <row r="2314" spans="2:4" x14ac:dyDescent="0.2">
      <c r="B2314" s="67"/>
      <c r="C2314" s="67"/>
      <c r="D2314" s="67"/>
    </row>
    <row r="2315" spans="2:4" x14ac:dyDescent="0.2">
      <c r="B2315" s="67"/>
      <c r="C2315" s="67"/>
      <c r="D2315" s="67"/>
    </row>
    <row r="2316" spans="2:4" x14ac:dyDescent="0.2">
      <c r="B2316" s="67"/>
      <c r="C2316" s="67"/>
      <c r="D2316" s="67"/>
    </row>
    <row r="2317" spans="2:4" x14ac:dyDescent="0.2">
      <c r="B2317" s="67"/>
      <c r="C2317" s="67"/>
      <c r="D2317" s="67"/>
    </row>
    <row r="2318" spans="2:4" x14ac:dyDescent="0.2">
      <c r="B2318" s="67"/>
      <c r="C2318" s="67"/>
      <c r="D2318" s="67"/>
    </row>
    <row r="2319" spans="2:4" x14ac:dyDescent="0.2">
      <c r="B2319" s="67"/>
      <c r="C2319" s="67"/>
      <c r="D2319" s="67"/>
    </row>
    <row r="2320" spans="2:4" x14ac:dyDescent="0.2">
      <c r="B2320" s="67"/>
      <c r="C2320" s="67"/>
      <c r="D2320" s="67"/>
    </row>
    <row r="2321" spans="2:4" x14ac:dyDescent="0.2">
      <c r="B2321" s="67"/>
      <c r="C2321" s="67"/>
      <c r="D2321" s="67"/>
    </row>
    <row r="2322" spans="2:4" x14ac:dyDescent="0.2">
      <c r="B2322" s="67"/>
      <c r="C2322" s="67"/>
      <c r="D2322" s="67"/>
    </row>
    <row r="2323" spans="2:4" x14ac:dyDescent="0.2">
      <c r="B2323" s="67"/>
      <c r="C2323" s="67"/>
      <c r="D2323" s="67"/>
    </row>
    <row r="2324" spans="2:4" x14ac:dyDescent="0.2">
      <c r="B2324" s="67"/>
      <c r="C2324" s="67"/>
      <c r="D2324" s="67"/>
    </row>
    <row r="2325" spans="2:4" x14ac:dyDescent="0.2">
      <c r="B2325" s="67"/>
      <c r="C2325" s="67"/>
      <c r="D2325" s="67"/>
    </row>
    <row r="2326" spans="2:4" x14ac:dyDescent="0.2">
      <c r="B2326" s="67"/>
      <c r="C2326" s="67"/>
      <c r="D2326" s="67"/>
    </row>
    <row r="2327" spans="2:4" x14ac:dyDescent="0.2">
      <c r="B2327" s="67"/>
      <c r="C2327" s="67"/>
      <c r="D2327" s="67"/>
    </row>
    <row r="2328" spans="2:4" x14ac:dyDescent="0.2">
      <c r="B2328" s="67"/>
      <c r="C2328" s="67"/>
      <c r="D2328" s="67"/>
    </row>
    <row r="2329" spans="2:4" x14ac:dyDescent="0.2">
      <c r="B2329" s="67"/>
      <c r="C2329" s="67"/>
      <c r="D2329" s="67"/>
    </row>
    <row r="2330" spans="2:4" x14ac:dyDescent="0.2">
      <c r="B2330" s="67"/>
      <c r="C2330" s="67"/>
      <c r="D2330" s="67"/>
    </row>
    <row r="2331" spans="2:4" x14ac:dyDescent="0.2">
      <c r="B2331" s="67"/>
      <c r="C2331" s="67"/>
      <c r="D2331" s="67"/>
    </row>
    <row r="2332" spans="2:4" x14ac:dyDescent="0.2">
      <c r="B2332" s="67"/>
      <c r="C2332" s="67"/>
      <c r="D2332" s="67"/>
    </row>
    <row r="2333" spans="2:4" x14ac:dyDescent="0.2">
      <c r="B2333" s="67"/>
      <c r="C2333" s="67"/>
      <c r="D2333" s="67"/>
    </row>
    <row r="2334" spans="2:4" x14ac:dyDescent="0.2">
      <c r="B2334" s="67"/>
      <c r="C2334" s="67"/>
      <c r="D2334" s="67"/>
    </row>
    <row r="2335" spans="2:4" x14ac:dyDescent="0.2">
      <c r="B2335" s="67"/>
      <c r="C2335" s="67"/>
      <c r="D2335" s="67"/>
    </row>
    <row r="2336" spans="2:4" x14ac:dyDescent="0.2">
      <c r="B2336" s="67"/>
      <c r="C2336" s="67"/>
      <c r="D2336" s="67"/>
    </row>
    <row r="2337" spans="2:4" x14ac:dyDescent="0.2">
      <c r="B2337" s="67"/>
      <c r="C2337" s="67"/>
      <c r="D2337" s="67"/>
    </row>
    <row r="2338" spans="2:4" x14ac:dyDescent="0.2">
      <c r="B2338" s="67"/>
      <c r="C2338" s="67"/>
      <c r="D2338" s="67"/>
    </row>
    <row r="2339" spans="2:4" x14ac:dyDescent="0.2">
      <c r="B2339" s="67"/>
      <c r="C2339" s="67"/>
      <c r="D2339" s="67"/>
    </row>
    <row r="2340" spans="2:4" x14ac:dyDescent="0.2">
      <c r="B2340" s="67"/>
      <c r="C2340" s="67"/>
      <c r="D2340" s="67"/>
    </row>
    <row r="2341" spans="2:4" x14ac:dyDescent="0.2">
      <c r="B2341" s="67"/>
      <c r="C2341" s="67"/>
      <c r="D2341" s="67"/>
    </row>
    <row r="2342" spans="2:4" x14ac:dyDescent="0.2">
      <c r="B2342" s="67"/>
      <c r="C2342" s="67"/>
      <c r="D2342" s="67"/>
    </row>
    <row r="2343" spans="2:4" x14ac:dyDescent="0.2">
      <c r="B2343" s="67"/>
      <c r="C2343" s="67"/>
      <c r="D2343" s="67"/>
    </row>
    <row r="2344" spans="2:4" x14ac:dyDescent="0.2">
      <c r="B2344" s="67"/>
      <c r="C2344" s="67"/>
      <c r="D2344" s="67"/>
    </row>
    <row r="2345" spans="2:4" x14ac:dyDescent="0.2">
      <c r="B2345" s="67"/>
      <c r="C2345" s="67"/>
      <c r="D2345" s="67"/>
    </row>
    <row r="2346" spans="2:4" x14ac:dyDescent="0.2">
      <c r="B2346" s="67"/>
      <c r="C2346" s="67"/>
      <c r="D2346" s="67"/>
    </row>
    <row r="2347" spans="2:4" x14ac:dyDescent="0.2">
      <c r="B2347" s="67"/>
      <c r="C2347" s="67"/>
      <c r="D2347" s="67"/>
    </row>
    <row r="2348" spans="2:4" x14ac:dyDescent="0.2">
      <c r="B2348" s="67"/>
      <c r="C2348" s="67"/>
      <c r="D2348" s="67"/>
    </row>
    <row r="2349" spans="2:4" x14ac:dyDescent="0.2">
      <c r="B2349" s="67"/>
      <c r="C2349" s="67"/>
      <c r="D2349" s="67"/>
    </row>
    <row r="2350" spans="2:4" x14ac:dyDescent="0.2">
      <c r="B2350" s="67"/>
      <c r="C2350" s="67"/>
      <c r="D2350" s="67"/>
    </row>
    <row r="2351" spans="2:4" x14ac:dyDescent="0.2">
      <c r="B2351" s="67"/>
      <c r="C2351" s="67"/>
      <c r="D2351" s="67"/>
    </row>
    <row r="2352" spans="2:4" x14ac:dyDescent="0.2">
      <c r="B2352" s="67"/>
      <c r="C2352" s="67"/>
      <c r="D2352" s="67"/>
    </row>
    <row r="2353" spans="2:4" x14ac:dyDescent="0.2">
      <c r="B2353" s="67"/>
      <c r="C2353" s="67"/>
      <c r="D2353" s="67"/>
    </row>
    <row r="2354" spans="2:4" x14ac:dyDescent="0.2">
      <c r="B2354" s="67"/>
      <c r="C2354" s="67"/>
      <c r="D2354" s="67"/>
    </row>
    <row r="2355" spans="2:4" x14ac:dyDescent="0.2">
      <c r="B2355" s="67"/>
      <c r="C2355" s="67"/>
      <c r="D2355" s="67"/>
    </row>
    <row r="2356" spans="2:4" x14ac:dyDescent="0.2">
      <c r="B2356" s="67"/>
      <c r="C2356" s="67"/>
      <c r="D2356" s="67"/>
    </row>
    <row r="2357" spans="2:4" x14ac:dyDescent="0.2">
      <c r="B2357" s="67"/>
      <c r="C2357" s="67"/>
      <c r="D2357" s="67"/>
    </row>
    <row r="2358" spans="2:4" x14ac:dyDescent="0.2">
      <c r="B2358" s="67"/>
      <c r="C2358" s="67"/>
      <c r="D2358" s="67"/>
    </row>
    <row r="2359" spans="2:4" x14ac:dyDescent="0.2">
      <c r="B2359" s="67"/>
      <c r="C2359" s="67"/>
      <c r="D2359" s="67"/>
    </row>
    <row r="2360" spans="2:4" x14ac:dyDescent="0.2">
      <c r="B2360" s="67"/>
      <c r="C2360" s="67"/>
      <c r="D2360" s="67"/>
    </row>
    <row r="2361" spans="2:4" x14ac:dyDescent="0.2">
      <c r="B2361" s="67"/>
      <c r="C2361" s="67"/>
      <c r="D2361" s="67"/>
    </row>
    <row r="2362" spans="2:4" x14ac:dyDescent="0.2">
      <c r="B2362" s="67"/>
      <c r="C2362" s="67"/>
      <c r="D2362" s="67"/>
    </row>
    <row r="2363" spans="2:4" x14ac:dyDescent="0.2">
      <c r="B2363" s="67"/>
      <c r="C2363" s="67"/>
      <c r="D2363" s="67"/>
    </row>
    <row r="2364" spans="2:4" x14ac:dyDescent="0.2">
      <c r="B2364" s="67"/>
      <c r="C2364" s="67"/>
      <c r="D2364" s="67"/>
    </row>
    <row r="2365" spans="2:4" x14ac:dyDescent="0.2">
      <c r="B2365" s="67"/>
      <c r="C2365" s="67"/>
      <c r="D2365" s="67"/>
    </row>
    <row r="2366" spans="2:4" x14ac:dyDescent="0.2">
      <c r="B2366" s="67"/>
      <c r="C2366" s="67"/>
      <c r="D2366" s="67"/>
    </row>
    <row r="2367" spans="2:4" x14ac:dyDescent="0.2">
      <c r="B2367" s="67"/>
      <c r="C2367" s="67"/>
      <c r="D2367" s="67"/>
    </row>
    <row r="2368" spans="2:4" x14ac:dyDescent="0.2">
      <c r="B2368" s="67"/>
      <c r="C2368" s="67"/>
      <c r="D2368" s="67"/>
    </row>
    <row r="2369" spans="2:4" x14ac:dyDescent="0.2">
      <c r="B2369" s="67"/>
      <c r="C2369" s="67"/>
      <c r="D2369" s="67"/>
    </row>
    <row r="2370" spans="2:4" x14ac:dyDescent="0.2">
      <c r="B2370" s="67"/>
      <c r="C2370" s="67"/>
      <c r="D2370" s="67"/>
    </row>
    <row r="2371" spans="2:4" x14ac:dyDescent="0.2">
      <c r="B2371" s="67"/>
      <c r="C2371" s="67"/>
      <c r="D2371" s="67"/>
    </row>
    <row r="2372" spans="2:4" x14ac:dyDescent="0.2">
      <c r="B2372" s="67"/>
      <c r="C2372" s="67"/>
      <c r="D2372" s="67"/>
    </row>
    <row r="2373" spans="2:4" x14ac:dyDescent="0.2">
      <c r="B2373" s="67"/>
      <c r="C2373" s="67"/>
      <c r="D2373" s="67"/>
    </row>
    <row r="2374" spans="2:4" x14ac:dyDescent="0.2">
      <c r="B2374" s="67"/>
      <c r="C2374" s="67"/>
      <c r="D2374" s="67"/>
    </row>
    <row r="2375" spans="2:4" x14ac:dyDescent="0.2">
      <c r="B2375" s="67"/>
      <c r="C2375" s="67"/>
      <c r="D2375" s="67"/>
    </row>
    <row r="2376" spans="2:4" x14ac:dyDescent="0.2">
      <c r="B2376" s="67"/>
      <c r="C2376" s="67"/>
      <c r="D2376" s="67"/>
    </row>
    <row r="2377" spans="2:4" x14ac:dyDescent="0.2">
      <c r="B2377" s="67"/>
      <c r="C2377" s="67"/>
      <c r="D2377" s="67"/>
    </row>
    <row r="2378" spans="2:4" x14ac:dyDescent="0.2">
      <c r="B2378" s="67"/>
      <c r="C2378" s="67"/>
      <c r="D2378" s="67"/>
    </row>
    <row r="2379" spans="2:4" x14ac:dyDescent="0.2">
      <c r="B2379" s="67"/>
      <c r="C2379" s="67"/>
      <c r="D2379" s="67"/>
    </row>
    <row r="2380" spans="2:4" x14ac:dyDescent="0.2">
      <c r="B2380" s="67"/>
      <c r="C2380" s="67"/>
      <c r="D2380" s="67"/>
    </row>
    <row r="2385" spans="1:15" s="78" customFormat="1" ht="15.75" x14ac:dyDescent="0.2">
      <c r="A2385" s="77" t="s">
        <v>1</v>
      </c>
      <c r="B2385" s="79"/>
      <c r="C2385" s="79"/>
      <c r="D2385" s="79"/>
      <c r="F2385" s="79"/>
      <c r="G2385" s="80"/>
      <c r="H2385" s="80"/>
      <c r="I2385" s="80"/>
      <c r="J2385" s="80"/>
      <c r="K2385" s="80"/>
      <c r="L2385" s="80"/>
      <c r="M2385" s="80"/>
      <c r="N2385" s="80"/>
      <c r="O2385" s="80"/>
    </row>
    <row r="1048361" spans="3:3" x14ac:dyDescent="0.2">
      <c r="C1048361" s="59"/>
    </row>
  </sheetData>
  <autoFilter ref="B9:Y146" xr:uid="{14A2E570-7E36-4CA3-AD3D-F7697AAF5C1C}"/>
  <conditionalFormatting sqref="A4">
    <cfRule type="expression" dxfId="8" priority="4" stopIfTrue="1">
      <formula>ABS(MasterCheck)&gt;Tolerance</formula>
    </cfRule>
  </conditionalFormatting>
  <dataValidations count="2">
    <dataValidation type="list" allowBlank="1" showInputMessage="1" showErrorMessage="1" sqref="U10:U145" xr:uid="{0541C321-CABA-4345-8768-EB20738A52F8}">
      <formula1>"Interés,Rechazo,Sin Respuesta,N/A"</formula1>
    </dataValidation>
    <dataValidation type="list" allowBlank="1" showInputMessage="1" showErrorMessage="1" sqref="S10:S145" xr:uid="{65A01D8F-AEE9-4095-BFBB-1973099DEEA8}">
      <formula1>"Llamada,Correo,Linkedin,No Contactado,Rebotado,Carta Presencial,Reunion Presencial"</formula1>
    </dataValidation>
  </dataValidations>
  <hyperlinks>
    <hyperlink ref="N16" r:id="rId1" xr:uid="{4B6D412D-9472-4945-8F27-E4D236A828DB}"/>
    <hyperlink ref="J27" r:id="rId2" xr:uid="{9F5A868F-6146-4640-9D29-7801AC9BB9C9}"/>
    <hyperlink ref="J135" r:id="rId3" xr:uid="{384516D6-AC50-427D-A704-1D24D3A80250}"/>
    <hyperlink ref="J23" r:id="rId4" xr:uid="{74539E5D-487B-4249-947B-5BA946958985}"/>
    <hyperlink ref="J136" r:id="rId5" xr:uid="{DC29519F-EC2B-4CEC-AC26-EC4E99B6BCCC}"/>
    <hyperlink ref="J137" r:id="rId6" xr:uid="{2A1028A5-7ECD-45EB-A616-70E7279DF398}"/>
    <hyperlink ref="J139" r:id="rId7" xr:uid="{DF988C30-6691-455F-8F6D-D76DFD407BFD}"/>
    <hyperlink ref="N135" r:id="rId8" xr:uid="{A5323A78-F8B4-4E30-B9C9-9B4D875DD4D4}"/>
    <hyperlink ref="Q10" r:id="rId9" xr:uid="{5E8683B4-D91E-43E3-9171-2E80767E7B2A}"/>
    <hyperlink ref="J10" r:id="rId10" xr:uid="{B7C3FFF1-AD80-498C-9B89-C828BCD1C789}"/>
    <hyperlink ref="N136" r:id="rId11" xr:uid="{A2F375E4-7208-4EBA-863A-70919274DCEA}"/>
    <hyperlink ref="J13" r:id="rId12" xr:uid="{0041B4FE-BC12-4BC5-BE22-449F35D1EA15}"/>
    <hyperlink ref="N13" r:id="rId13" xr:uid="{6A1FDED1-934C-4C07-981B-CB7CD5DE442E}"/>
    <hyperlink ref="Q13" r:id="rId14" xr:uid="{7DED909B-7528-41E6-87F8-528D824F863E}"/>
    <hyperlink ref="Q29" r:id="rId15" xr:uid="{5174D55A-4304-46CF-8F78-AF273D5E23AB}"/>
    <hyperlink ref="Q15" r:id="rId16" xr:uid="{19420E75-B6F5-4916-9FF5-19FE21CBDB47}"/>
    <hyperlink ref="N42" r:id="rId17" xr:uid="{0B2BE1BF-97CD-4B73-A32B-CF46C624C487}"/>
    <hyperlink ref="Q16" r:id="rId18" xr:uid="{62499FCB-D204-4EC7-8730-EF5B1E941D9D}"/>
    <hyperlink ref="O86" r:id="rId19" display="https://www.google.com/search?q=Transportes+For%C3%A1neos+Gonz%C3%A1lez&amp;oq=Transportes+For%C3%A1neos+Gonz%C3%A1lez&amp;gs_lcrp=EgZjaHJvbWUyBggAEEUYOTIICAEQABgWGB4yCggCEAAYgAQYogQyBwgDEAAY7wUyCggEEAAYgAQYogTSAQc3MDBqMGo0qAIAsAIB&amp;sourceid=chrome&amp;source=chrome.ob&amp;ie=UTF-8" xr:uid="{0A4D6933-E4C8-4981-AA5A-60F328118FAF}"/>
    <hyperlink ref="N88" r:id="rId20" xr:uid="{020C4795-AAB4-44F7-B905-345F97CBD19F}"/>
    <hyperlink ref="J88" r:id="rId21" xr:uid="{A2F16B81-ED56-415D-924C-B4898CEB4999}"/>
    <hyperlink ref="O137" r:id="rId22" display="https://www.google.com/search?q=mederilab+numero&amp;oq=mederilab+numero&amp;gs_lcrp=EgZjaHJvbWUyBggAEEUYOTIHCAEQIRigATIHCAIQIRigAdIBCDMyNTJqMGo0qAIDsAIB8QVa6-THZx-XSfEFWuvkx2cfl0k&amp;sourceid=chrome&amp;source=chrome.ob&amp;ie=UTF-8" xr:uid="{EA357559-1C24-47B9-955A-9D10C3AD47D2}"/>
    <hyperlink ref="O133" r:id="rId23" display="https://www.google.com/search?q=corporativo+mohema+numero&amp;sca_esv=d7a897ae2fa4bc83&amp;biw=1536&amp;bih=756&amp;sxsrf=APpeQnvTaDY-j4ABIVoli0mHGAlY5dfw9w%3A1783455277501&amp;ei=LV5NatSfHqSgur8Pp7fcoQE&amp;ved=0ahUKEwiU6qbSsMGVAxUkkO4BHacbNxQQ4dUDCBA&amp;uact=5&amp;oq=corporativo+mohema+numero&amp;gs_lp=Egxnd3Mtd2l6LXNlcnAiGWNvcnBvcmF0aXZvIG1vaGVtYSBudW1lcm8yBRAhGKABMgUQIRigAUjHHVAAWKAbcAB4AZABAJgBjwGgAdERqgEEMjEuNLgBA8gBAPgBAZgCGaACrhPCAg4QABiABBiKBRixAxiDAcICEBAuGIAEGIoFGEMYxwEY0QPCAggQABiABBixA8ICERAuGIAEGLEDGIMBGMcBGNEDwgIOEC4YgAQYsQMYxwEY0QPCAgUQLhiABMICExAuGIAEGIoFGEMYsQMYxwEY0QPCAgsQLhiDARixAxiABMICCxAAGIAEGLEDGIMBwgIFEAAYgATCAgsQLhiABBixAxiDAcICChAuGIAEGIoFGEPCAg4QLhiABBixAxjHARivAcICCBAuGIAEGLEDwgINEAAYgAQYigUYQxixA8ICDhAuGIAEGMcBGK8BGI4FwgILEC4YgAQYxwEYrwHCAgsQLhivARjHARiABMICAhAmwgIFEAAY7wXCAggQABiABBiiBMICBhAAGBYYHsICBBAhGBWYAwCSBwQxOS42oAf2qQKyBwQxOS42uAeuE8IHCDAuMS4yMS4zyAeTAYAIAQ&amp;sclient=gws-wiz-serp" xr:uid="{0B20C867-E649-41E5-9538-C034329F1BF2}"/>
    <hyperlink ref="O28" r:id="rId24" display="tel:+523312561290" xr:uid="{2B53E786-B429-49AB-932E-C663265623C2}"/>
    <hyperlink ref="J24" r:id="rId25" xr:uid="{123E6461-C860-4B25-83BB-E169B46E11B3}"/>
    <hyperlink ref="J25" r:id="rId26" xr:uid="{97B4302E-CB2F-472B-99FE-BB69C92251B7}"/>
    <hyperlink ref="J30" r:id="rId27" xr:uid="{218BAF3E-6AFE-4FAE-AFE0-3D7217523B5B}"/>
    <hyperlink ref="J31" r:id="rId28" xr:uid="{EBFC9266-CAD3-4F6D-9794-3021C2344968}"/>
    <hyperlink ref="J33" r:id="rId29" xr:uid="{610C40DE-8E54-4177-A275-F5E5FAF62A63}"/>
    <hyperlink ref="J34" r:id="rId30" xr:uid="{B3C73BEF-176E-49E8-B8F9-3DE645ADC36E}"/>
    <hyperlink ref="O34" r:id="rId31" display="https://www.google.com/search?q=OKKO+SUPER+FOODS+CONTACTO&amp;oq=OKKO+SUPER+FOODS+CONTACTO&amp;gs_lcrp=EgZjaHJvbWUyBggAEEUYOTIHCAEQIRigATIHCAIQIRigAdIBCDM1ODZqMGo0qAIDsAIB8QV0vNmvCvGjlg&amp;sourceid=chrome&amp;source=chrome.ob&amp;ie=UTF-8" xr:uid="{C81CBAE8-FEBD-40E1-A135-BBCAA135743B}"/>
    <hyperlink ref="J35" r:id="rId32" xr:uid="{7201A247-5F10-4FF8-92C0-A921B903C46A}"/>
    <hyperlink ref="J36" r:id="rId33" xr:uid="{54698954-C9E7-4A2E-B2FA-72FAFA29971C}"/>
    <hyperlink ref="J37" r:id="rId34" xr:uid="{1FC6C5A8-61B9-4849-A43B-EBCC199FDDD0}"/>
    <hyperlink ref="J95" r:id="rId35" xr:uid="{B2E6E40F-783E-4758-9919-6367BCC3C3F6}"/>
    <hyperlink ref="J40" r:id="rId36" xr:uid="{8D554A9A-D099-4CE7-9427-6B9547087F51}"/>
    <hyperlink ref="J41" r:id="rId37" xr:uid="{E239380A-24D0-4CA9-B78A-C4F66695EABF}"/>
    <hyperlink ref="J42" r:id="rId38" xr:uid="{26714940-3D90-4081-B067-ACC6E1C79A33}"/>
    <hyperlink ref="J43" r:id="rId39" xr:uid="{08C36080-E90F-414A-B655-754F4F56FBD7}"/>
    <hyperlink ref="J44" r:id="rId40" xr:uid="{0EB9898E-FCDA-4B89-99AA-88CB2E18E913}"/>
    <hyperlink ref="J110" r:id="rId41" xr:uid="{98BB50A7-F8E2-49DB-AA2B-A34FECC70F87}"/>
    <hyperlink ref="J117" r:id="rId42" xr:uid="{CBD1B94F-3379-4200-B5B6-CFFEDFFA4996}"/>
    <hyperlink ref="J47" r:id="rId43" xr:uid="{372DB876-DA1F-4F37-BF8A-241D57FECC06}"/>
    <hyperlink ref="Q18" r:id="rId44" xr:uid="{3C01CB18-5FE9-449F-A3A6-CA31C6500BBB}"/>
    <hyperlink ref="Q19" r:id="rId45" xr:uid="{6488CF83-50FD-47EF-89E5-BCA85B6A0D55}"/>
    <hyperlink ref="Q21" r:id="rId46" xr:uid="{5AE65313-3368-46D2-A8D9-70EEF5751CD8}"/>
    <hyperlink ref="Q22" r:id="rId47" xr:uid="{8FAF7E7F-6440-40D2-9B6E-F718E119F285}"/>
    <hyperlink ref="Q56" r:id="rId48" xr:uid="{4BB64021-E86F-44F2-B3C4-57D43536832F}"/>
    <hyperlink ref="Q24" r:id="rId49" xr:uid="{35C56B3D-E335-4E45-81DB-F9AE52D460FE}"/>
    <hyperlink ref="Q67" r:id="rId50" xr:uid="{197CE9CF-9CDA-4BCB-9BBF-6A638E05B705}"/>
    <hyperlink ref="Q68" r:id="rId51" xr:uid="{BDFE69AF-47AE-4006-8085-54E912BE8912}"/>
    <hyperlink ref="Q71" r:id="rId52" xr:uid="{E9E452FE-EB9A-4784-A7C8-D282A01C3BDA}"/>
    <hyperlink ref="Q31" r:id="rId53" xr:uid="{8B76431F-FB33-4EBC-A40D-80CE24D891A7}"/>
    <hyperlink ref="N33" r:id="rId54" xr:uid="{EF9A8EB2-5C30-49CB-9F59-44445B2DAF9E}"/>
    <hyperlink ref="Q33" r:id="rId55" xr:uid="{FFC321E6-ACA6-455D-B406-865D6B50E5F5}"/>
    <hyperlink ref="Q34" r:id="rId56" xr:uid="{9336FBE9-172C-48CB-B84D-80ACCDDF24C7}"/>
    <hyperlink ref="N35" r:id="rId57" xr:uid="{3EE8C0E2-2D9A-4C26-BEBD-BDD6C12B4D56}"/>
    <hyperlink ref="Q36" r:id="rId58" xr:uid="{95BA7E53-9D8E-47B2-B8F2-281CD41245A3}"/>
    <hyperlink ref="Q38" r:id="rId59" xr:uid="{738ABE7F-D15F-4EEA-9BBE-B2DF4D230938}"/>
    <hyperlink ref="Q40" r:id="rId60" xr:uid="{40590CA8-2A23-4694-A35F-0AC5E4F8251D}"/>
    <hyperlink ref="Q42" r:id="rId61" xr:uid="{A78BE8DF-EF50-4A8E-AE05-BFB25A88114E}"/>
    <hyperlink ref="Q44" r:id="rId62" xr:uid="{771D20EE-A3E5-474A-AD6A-5D52F4A83495}"/>
    <hyperlink ref="Q48" r:id="rId63" xr:uid="{4F0E06FF-43AA-4C77-BDB6-F09AFA24289C}"/>
    <hyperlink ref="N27" r:id="rId64" xr:uid="{37FACC70-04A6-4D8C-A30E-4A64E5501D4B}"/>
    <hyperlink ref="Q27" r:id="rId65" xr:uid="{DF54DDB7-0BD0-4813-A1E2-E342C8524AD5}"/>
    <hyperlink ref="J52" r:id="rId66" xr:uid="{EC7B54AF-C974-438C-BD72-24749A57F181}"/>
    <hyperlink ref="J53" r:id="rId67" xr:uid="{B9B66ADF-4881-4CFD-BF8A-095E967D6BF3}"/>
    <hyperlink ref="J39" r:id="rId68" xr:uid="{2C016D34-3CBB-43B1-9277-A80B560B3361}"/>
    <hyperlink ref="O52" r:id="rId69" display="https://www.google.com/search?sca_esv=f03d313a4cb8ca83&amp;sxsrf=APpeQnsxn8PnZ1kEQU_aC8atL7-Do9jAtg:1783491375875&amp;q=Alamo+Aluminios+numero&amp;source=lnms&amp;fbs=ABfTbFVjtdzIkJDfNfC9lB6JHC-7xP2Cr0C10Pm5IKZRbmMWHcTkMCyKbYKnvS3Yy0OmWkgwxKX2t9cZAw7fdaMq34LEvaZsAEMi0JbTI_WCszWbVo8bQMRKKcfQuDJpsPzETW-Hf5h0-9C3Iwf32u_ANTPX-jvQ2vnDvy1F6ismEZTvX78waiqyZvDM2Ps4PltjbUgzIy6mDS6sT9TYm0UigYqNt1cnD9KPM-QS9FLOrTB1NzP5iTE&amp;sa=X&amp;ved=2ahUKEwj4yKyPt8KVAxXk4skDHaN4FbcQ0pQJegQIGBAB&amp;biw=1536&amp;bih=756&amp;dpr=1.25" xr:uid="{0B9A48D3-3199-4FCF-ADAC-6C095205D4D1}"/>
    <hyperlink ref="J61" r:id="rId70" xr:uid="{5FFD114F-A01E-49CD-BF58-B479E1AC02FA}"/>
    <hyperlink ref="O63" r:id="rId71" display="https://www.google.com/search?q=Tuberias+Visa+de+Guadalajara&amp;sca_esv=f03d313a4cb8ca83&amp;sxsrf=APpeQns3Qtrd8ZnX5k5VJflIMwx8YvZl3Q%3A1783491858751&amp;ei=Eu1NapPDLYGup84PuOiTmAQ&amp;biw=1536&amp;bih=756&amp;ved=0ahUKEwiTlM31uMKVAxUB18kDHTj0BEMQ4dUDCBA&amp;uact=5&amp;oq=Tuberias+Visa+de+Guadalajara&amp;gs_lp=Egxnd3Mtd2l6LXNlcnAiHFR1YmVyaWFzIFZpc2EgZGUgR3VhZGFsYWphcmEyCxAuGK8BGMcBGIAEMgYQABgWGB4yBhAAGBYYHjICECYyCBAAGIAEGKIEMggQABiABBiiBDIIEAAYgAQYogQyCBAAGIkFGKIESPMDUABYAHAAeAGQAQCYAX6gAX6qAQMwLjG4AQPIAQD4AQL4AQGYAgGgApABmAMAkgcDMC4xoAetCbIHAzAuMbgHkAHCBwMzLTHIBw2ACAE&amp;sclient=gws-wiz-serp" xr:uid="{B4F5F517-8523-44FA-8DFC-501BCEC4D9B4}"/>
    <hyperlink ref="J64" r:id="rId72" xr:uid="{6A4963AB-4D7B-42ED-9A75-B91A7043E6A5}"/>
    <hyperlink ref="J65" r:id="rId73" xr:uid="{D38CAF02-37A6-49A0-AC67-D2F946F125C4}"/>
    <hyperlink ref="J78" r:id="rId74" xr:uid="{5BD84518-68A6-4F10-A3A0-C89F970DD3E8}"/>
    <hyperlink ref="J66" r:id="rId75" xr:uid="{FB11CB3C-1F11-4507-8211-92DECD741918}"/>
    <hyperlink ref="Q55" r:id="rId76" xr:uid="{58CD3084-0FE4-41E6-9BB1-9C26EB3CF451}"/>
    <hyperlink ref="Q59" r:id="rId77" xr:uid="{A06B160F-433B-49FE-829E-6770E2FB441E}"/>
    <hyperlink ref="J107" r:id="rId78" xr:uid="{A12E3C4F-9D18-4FBE-B183-8D8759F80DDF}"/>
    <hyperlink ref="J69" r:id="rId79" xr:uid="{8EDABA34-9E1B-4BFD-98B5-D381CD4E61DB}"/>
    <hyperlink ref="Q61" r:id="rId80" xr:uid="{3DAEFBC6-B7FD-4958-AF43-6490635E3C87}"/>
    <hyperlink ref="Q137" r:id="rId81" xr:uid="{000D429C-24A5-42CF-9112-CCABB1991E2A}"/>
    <hyperlink ref="Q63" r:id="rId82" xr:uid="{633AEB11-2F80-497D-8E29-41D5558D21B8}"/>
    <hyperlink ref="N64" r:id="rId83" xr:uid="{A659D97E-3C48-486D-9E6E-435BA8C9C6DF}"/>
    <hyperlink ref="Q66" r:id="rId84" xr:uid="{7755FC45-35A5-4582-993A-0EA4E8E1AF3D}"/>
    <hyperlink ref="J138" r:id="rId85" xr:uid="{9AD8D2DD-F05D-4F00-8D2E-73CC7A02F00B}"/>
    <hyperlink ref="Q138" r:id="rId86" xr:uid="{B2402E41-9A31-4543-BE5C-97B54EFBB33B}"/>
    <hyperlink ref="J126" r:id="rId87" xr:uid="{0FC9E090-EFD0-4CA9-BB1C-8F4CD7529C2D}"/>
    <hyperlink ref="Q126" r:id="rId88" xr:uid="{8B766E91-EDAA-4719-93CC-04568E1379F7}"/>
    <hyperlink ref="J125" r:id="rId89" xr:uid="{D8068318-AC00-46B8-95FF-BBB3F8CBDB01}"/>
    <hyperlink ref="Q125" r:id="rId90" xr:uid="{519974F1-55D0-431E-A433-0DD87D37F03A}"/>
    <hyperlink ref="J124" r:id="rId91" xr:uid="{5ED35DBD-E2FE-4E3D-AE53-810F448A9CD0}"/>
    <hyperlink ref="J94" r:id="rId92" xr:uid="{779A9164-ED58-41F7-806C-B4A2D8090775}"/>
    <hyperlink ref="Q94" r:id="rId93" xr:uid="{2DC28BCF-9D0C-4557-96A0-646334E5662C}"/>
    <hyperlink ref="J122" r:id="rId94" xr:uid="{B2D2208D-976E-447D-B3F1-FB64FA7CDCD8}"/>
    <hyperlink ref="Q122" r:id="rId95" xr:uid="{CC723827-7375-42BB-85FB-44BB995B5CDA}"/>
    <hyperlink ref="J121" r:id="rId96" xr:uid="{9976AB3E-0D51-4147-B7E1-DCA03EF1E53B}"/>
    <hyperlink ref="J120" r:id="rId97" display="https://pituche.com/?utm_source=google&amp;utm_medium=cpc&amp;utm_campaign=INPD-MAXPER&amp;utm_content=General-2&amp;gad_source=1&amp;gad_campaignid=21493642458&amp;gbraid=0AAAAADExx4S_1JJQ3bP9gp_BgAd5TsAEU&amp;gclid=CjwKCAjwpK3SBhASEiwAtV1SPNW-XrmBhVW4CDWlFBTsE2R7ExJb1MgzkqjH7or7icFuK5LcJU1miRoCnCkQAvD_BwE" xr:uid="{DEC546DB-A9D5-4E1A-B7C8-82F2FE0DA629}"/>
    <hyperlink ref="J118" r:id="rId98" xr:uid="{292DD177-12BB-4579-9C02-A48FFBBB5F27}"/>
    <hyperlink ref="J97" r:id="rId99" xr:uid="{0DB7C0B3-4ADF-4BD2-946F-DCECD3C829DE}"/>
    <hyperlink ref="Q116" r:id="rId100" xr:uid="{CBDDE965-2EE9-4061-B06F-DCCBEC9E6797}"/>
    <hyperlink ref="J115" r:id="rId101" xr:uid="{B331D20D-B3BE-416D-AE56-EFF72413BC9F}"/>
    <hyperlink ref="J74" r:id="rId102" xr:uid="{EB20A71A-1F9A-4D56-9F6F-90D2EEF4B806}"/>
    <hyperlink ref="J72" r:id="rId103" xr:uid="{A517134B-A59C-4074-945E-BC5A0B253EC9}"/>
    <hyperlink ref="J81" r:id="rId104" xr:uid="{24742515-072C-4EBA-ACEC-56494D65373B}"/>
    <hyperlink ref="O81" r:id="rId105" display="javascript:void(0)" xr:uid="{C423C39A-C38B-4042-A76E-9B90B1BF3F11}"/>
    <hyperlink ref="J127" r:id="rId106" xr:uid="{6C71D6B1-8412-4DC9-9750-46B2F9E1010E}"/>
    <hyperlink ref="J77" r:id="rId107" xr:uid="{5550E3C2-895F-43B4-AB4C-99818AC6E56E}"/>
    <hyperlink ref="J113" r:id="rId108" xr:uid="{E41F035A-D5BA-4A55-9D1D-160D2AFBCE1D}"/>
    <hyperlink ref="J112" r:id="rId109" xr:uid="{DAC8DBE5-3FE8-432B-8E83-A486438D2EE6}"/>
    <hyperlink ref="Q112" r:id="rId110" xr:uid="{66CFFE58-11D6-4415-A5C8-7CD28A52CD76}"/>
    <hyperlink ref="J111" r:id="rId111" xr:uid="{B73E833D-5A2E-47FF-A095-AAA50405DA45}"/>
    <hyperlink ref="J79" r:id="rId112" xr:uid="{572FA377-33EB-443E-A265-6145C20DD21E}"/>
    <hyperlink ref="J80" r:id="rId113" xr:uid="{6E41601A-8B02-47E8-ACB6-DA686FD2A3CC}"/>
    <hyperlink ref="J46" r:id="rId114" xr:uid="{7D29317D-E679-45FE-B68C-76B0FD70EF9F}"/>
    <hyperlink ref="Q51" r:id="rId115" xr:uid="{7EA76ABE-3AFA-45D3-8C38-E5719109F00A}"/>
    <hyperlink ref="J109" r:id="rId116" xr:uid="{ACB8D010-55B6-4416-A89B-1C6BA95352BD}"/>
    <hyperlink ref="Q109" r:id="rId117" xr:uid="{04C52382-CCFD-4E8F-ACEB-5864CCA1E520}"/>
    <hyperlink ref="J89" r:id="rId118" xr:uid="{7554CBBC-D50F-40CE-A4F2-CF7283046096}"/>
    <hyperlink ref="J108" r:id="rId119" xr:uid="{C91C1DF8-68F2-41D7-8BF8-70AA2C2191B2}"/>
    <hyperlink ref="J45" r:id="rId120" xr:uid="{87B0AE57-D686-478A-BCDD-D231AD26B2F1}"/>
    <hyperlink ref="Q108" r:id="rId121" xr:uid="{DF81638E-8E65-4E1A-8ED9-C7293EB85D03}"/>
    <hyperlink ref="J91" r:id="rId122" xr:uid="{D24E5492-47C1-4CFD-848A-572E3F5490A8}"/>
    <hyperlink ref="J123" r:id="rId123" xr:uid="{B418BFAE-CFC1-4E15-A94A-D4B5DE2BA58B}"/>
    <hyperlink ref="J92" r:id="rId124" xr:uid="{B2C6D8AB-5B63-4B27-9E9A-A862EEC4324A}"/>
    <hyperlink ref="J26" r:id="rId125" xr:uid="{A5F851CB-9D11-4904-8E99-A3941F06E5EC}"/>
    <hyperlink ref="Q123" r:id="rId126" xr:uid="{361FCC98-9209-4C26-AA62-C30DDF8C3E94}"/>
    <hyperlink ref="J90" r:id="rId127" xr:uid="{801BFBC4-E7F0-48C3-9189-0FF9EB55B3CA}"/>
    <hyperlink ref="J103" r:id="rId128" xr:uid="{6B4BB08B-3DF5-4A80-82F1-BF06230BA3A3}"/>
    <hyperlink ref="J106" r:id="rId129" xr:uid="{9DCDF521-B766-45F8-929B-0A30246BB748}"/>
    <hyperlink ref="J96" r:id="rId130" xr:uid="{12EC3D3A-B2DF-4D55-BB63-AB0565C95895}"/>
    <hyperlink ref="J105" r:id="rId131" xr:uid="{9C08C6DA-92B6-44D6-B9B5-6314BE6C9982}"/>
    <hyperlink ref="J93" r:id="rId132" xr:uid="{EFAE58DC-6E78-48C7-B2E3-312E4A518E49}"/>
    <hyperlink ref="J60" r:id="rId133" xr:uid="{FDD67B27-05AD-4DAF-B3B7-0950C2B936B5}"/>
    <hyperlink ref="J98" r:id="rId134" xr:uid="{D48C04A1-55F8-479D-A7FB-E73941967E75}"/>
    <hyperlink ref="J114" r:id="rId135" xr:uid="{F41CC531-7682-4884-BA4B-AA63A4CDBA0C}"/>
    <hyperlink ref="J102" r:id="rId136" xr:uid="{2440627D-FACE-4C7D-ADF2-66D96BBA9484}"/>
    <hyperlink ref="J100" r:id="rId137" xr:uid="{D42AFF09-4BB3-4F0C-A58C-B816CCAA166B}"/>
    <hyperlink ref="J50" r:id="rId138" xr:uid="{8C7EF4CE-4406-4B6C-AF31-20BB42B65C40}"/>
    <hyperlink ref="N105" r:id="rId139" xr:uid="{C6E455F4-F6D7-49AC-85BF-403559A6123D}"/>
    <hyperlink ref="Q105" r:id="rId140" xr:uid="{BC65FA6D-5618-4774-832F-1A8CBFDAC8F9}"/>
    <hyperlink ref="J99" r:id="rId141" xr:uid="{3A8C3F3B-6B64-4178-8E27-C9FB123C0CC6}"/>
    <hyperlink ref="N36" r:id="rId142" xr:uid="{40DCD4DB-C952-4910-98EE-60716C06DB05}"/>
    <hyperlink ref="N38" r:id="rId143" xr:uid="{3394A863-6CC4-418C-9A56-E546674D72D4}"/>
    <hyperlink ref="N30" r:id="rId144" xr:uid="{8B9F2EDE-F0B1-4F12-986F-BEE787BA2E47}"/>
    <hyperlink ref="N41" r:id="rId145" xr:uid="{F3C7AC6C-4889-486D-B1BF-79E962EA856F}"/>
    <hyperlink ref="N43" r:id="rId146" xr:uid="{F245DE3A-67C6-4624-BCB0-D04FADA5AC43}"/>
    <hyperlink ref="J116" r:id="rId147" xr:uid="{12D579B0-4FA3-444C-93DC-21DA461A1E59}"/>
    <hyperlink ref="J140" r:id="rId148" xr:uid="{34FBFBB2-A052-409F-A85D-5B450D905837}"/>
    <hyperlink ref="N140" r:id="rId149" xr:uid="{3AB1D743-DBCD-4AAD-8AD3-FF2B307E546B}"/>
    <hyperlink ref="J141" r:id="rId150" xr:uid="{AEEB449A-14FB-4955-A317-C4D0E7F12926}"/>
    <hyperlink ref="N141" r:id="rId151" xr:uid="{F5D584D6-EF4F-4B93-AD48-5B45EF62003F}"/>
    <hyperlink ref="N29" r:id="rId152" xr:uid="{30A8DBCC-A86E-400C-B2E2-53EC3444CE69}"/>
    <hyperlink ref="N56" r:id="rId153" xr:uid="{4DFE9FD2-80B7-489E-A61A-DA4C77C58D26}"/>
    <hyperlink ref="N67" r:id="rId154" xr:uid="{F5D1DBCE-9226-436E-B5C7-5C3D17FEE871}"/>
    <hyperlink ref="N68" r:id="rId155" xr:uid="{31FD13E9-AA30-47B9-A329-3896E7427D4B}"/>
    <hyperlink ref="N95" r:id="rId156" xr:uid="{2BAC2C43-5A20-4952-973F-6F1FD5417507}"/>
    <hyperlink ref="N117" r:id="rId157" xr:uid="{B24D0E87-CEDC-450F-A075-13BA7DE909C5}"/>
    <hyperlink ref="N85" r:id="rId158" xr:uid="{362E89CA-182C-476B-B8FB-07D55EF37B9D}"/>
    <hyperlink ref="N46" r:id="rId159" xr:uid="{D8BAAC52-02DA-43AA-BB7D-04661174D5F0}"/>
    <hyperlink ref="N82" r:id="rId160" xr:uid="{7DDAAA68-7C46-4847-80A6-69260921799E}"/>
    <hyperlink ref="J82" r:id="rId161" xr:uid="{6E06A46C-73DC-410D-B143-10A8D141BAD1}"/>
    <hyperlink ref="N39" r:id="rId162" xr:uid="{3C6DA350-89F3-40F0-8707-8235129BFE10}"/>
    <hyperlink ref="N101" r:id="rId163" xr:uid="{4A41868B-1810-46CC-A2B0-4314390AA0C7}"/>
    <hyperlink ref="N45" r:id="rId164" xr:uid="{2411993F-AC46-4B61-998D-53BBB48ADCD2}"/>
    <hyperlink ref="N26" r:id="rId165" xr:uid="{49288A0E-3DCC-4640-AC1E-D56309F4B45E}"/>
    <hyperlink ref="N90" r:id="rId166" xr:uid="{EACA24C3-CAC1-4E93-8DC8-9E0EEA579D61}"/>
    <hyperlink ref="N103" r:id="rId167" xr:uid="{C8211A5A-39BC-4C31-85E8-836277DD54F4}"/>
    <hyperlink ref="N60" r:id="rId168" xr:uid="{C1EFDC1B-930A-4FB0-A1D7-C2AEF29AE0AD}"/>
    <hyperlink ref="N50" r:id="rId169" xr:uid="{ED751CE2-66A3-414F-ADE2-5B8E3309B256}"/>
    <hyperlink ref="N114" r:id="rId170" xr:uid="{1D28E524-7B6F-4191-B957-86F444A8BCF0}"/>
    <hyperlink ref="N93" r:id="rId171" xr:uid="{BB9752E5-0393-4C70-A4A2-7539BFC31A16}"/>
    <hyperlink ref="N123" r:id="rId172" xr:uid="{8E373AFA-DFAB-48CA-AD3F-6CC9F393C13D}"/>
    <hyperlink ref="N51" r:id="rId173" xr:uid="{F9048E34-2287-4D82-9BCA-BD1F47235237}"/>
    <hyperlink ref="N81" r:id="rId174" xr:uid="{A382277C-26EB-4EAA-89EF-342E59E0222F}"/>
    <hyperlink ref="N97" r:id="rId175" xr:uid="{66E86779-4848-4E38-AAE9-3C7DD2AEF787}"/>
    <hyperlink ref="N94" r:id="rId176" xr:uid="{FEE6F213-5DB3-4594-9EE7-34374AF82923}"/>
    <hyperlink ref="N14" r:id="rId177" xr:uid="{DCDD9C13-8CB3-42F1-BA81-712238E39100}"/>
    <hyperlink ref="N107" r:id="rId178" xr:uid="{F3AC0801-985A-4204-A85F-28CE642BE783}"/>
    <hyperlink ref="N74" r:id="rId179" xr:uid="{197726A3-0544-4C6C-901F-BDF1F6AEE9F5}"/>
    <hyperlink ref="N127" r:id="rId180" xr:uid="{34643368-8C9C-4A26-827D-9DE804BF683B}"/>
    <hyperlink ref="N104" r:id="rId181" xr:uid="{0F4F7AB2-9379-4BBE-8159-63916AD19FF7}"/>
    <hyperlink ref="N23" r:id="rId182" xr:uid="{1F2CB603-4DD0-459E-806F-8038B1858A71}"/>
    <hyperlink ref="N110" r:id="rId183" xr:uid="{72CBD5E7-7515-4B05-8C09-0D09936F04A0}"/>
    <hyperlink ref="N134" r:id="rId184" xr:uid="{4E1056B3-A8EA-4A02-8553-F6920FD0DAE9}"/>
    <hyperlink ref="N78" r:id="rId185" xr:uid="{86B1FB2B-7846-49EC-A4A7-136743BC7E60}"/>
    <hyperlink ref="J142" r:id="rId186" xr:uid="{569BA2CA-F685-4057-9BCD-1AA8A27638B2}"/>
  </hyperlinks>
  <pageMargins left="0" right="0" top="0" bottom="0.78740157480314965" header="0" footer="0.51181102362204722"/>
  <pageSetup paperSize="8" fitToHeight="0" orientation="landscape" r:id="rId187"/>
  <headerFooter alignWithMargins="0">
    <oddFooter>&amp;L
&amp;A&amp;C
&amp;P  of  &amp;N&amp;R&amp;F
&amp;D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D587F-A06B-4DE2-A4DD-AD4E6EE9EF12}">
  <dimension ref="A1"/>
  <sheetViews>
    <sheetView workbookViewId="0"/>
  </sheetViews>
  <sheetFormatPr defaultColWidth="9.28515625"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tabColor rgb="FF0000FF"/>
    <outlinePr summaryBelow="0"/>
    <pageSetUpPr autoPageBreaks="0" fitToPage="1"/>
  </sheetPr>
  <dimension ref="A1:G149"/>
  <sheetViews>
    <sheetView showGridLines="0" zoomScale="125" zoomScaleNormal="85" zoomScaleSheetLayoutView="85" zoomScalePageLayoutView="85" workbookViewId="0">
      <selection activeCell="F80" sqref="F80"/>
    </sheetView>
  </sheetViews>
  <sheetFormatPr defaultColWidth="8.85546875" defaultRowHeight="12.75" x14ac:dyDescent="0.2"/>
  <cols>
    <col min="1" max="1" width="3.7109375" style="1" customWidth="1"/>
    <col min="2" max="3" width="3.7109375" style="2" customWidth="1"/>
    <col min="4" max="4" width="18.85546875" style="5" customWidth="1"/>
    <col min="5" max="5" width="13.7109375" style="5" customWidth="1"/>
    <col min="6" max="6" width="23.7109375" style="2" bestFit="1" customWidth="1"/>
    <col min="7" max="7" width="3.28515625" style="2" bestFit="1" customWidth="1"/>
    <col min="8" max="13" width="1.28515625" style="2" customWidth="1"/>
    <col min="14" max="14" width="10.28515625" style="2" bestFit="1" customWidth="1"/>
    <col min="15" max="15" width="10.85546875" style="2" bestFit="1" customWidth="1"/>
    <col min="16" max="17" width="10.7109375" style="2" bestFit="1" customWidth="1"/>
    <col min="18" max="21" width="10.28515625" style="2" bestFit="1" customWidth="1"/>
    <col min="22" max="22" width="10.7109375" style="2" bestFit="1" customWidth="1"/>
    <col min="23" max="23" width="10.28515625" style="2" bestFit="1" customWidth="1"/>
    <col min="24" max="24" width="10.85546875" style="2" bestFit="1" customWidth="1"/>
    <col min="25" max="25" width="10.28515625" style="2" bestFit="1" customWidth="1"/>
    <col min="26" max="26" width="9.85546875" style="2" bestFit="1" customWidth="1"/>
    <col min="27" max="27" width="10.85546875" style="2" bestFit="1" customWidth="1"/>
    <col min="28" max="28" width="10.7109375" style="2" bestFit="1" customWidth="1"/>
    <col min="29" max="29" width="10.140625" style="2" bestFit="1" customWidth="1"/>
    <col min="30" max="33" width="10.28515625" style="2" bestFit="1" customWidth="1"/>
    <col min="34" max="34" width="10.7109375" style="2" bestFit="1" customWidth="1"/>
    <col min="35" max="35" width="10.28515625" style="2" bestFit="1" customWidth="1"/>
    <col min="36" max="36" width="10.85546875" style="2" bestFit="1" customWidth="1"/>
    <col min="37" max="37" width="10.28515625" style="2" bestFit="1" customWidth="1"/>
    <col min="38" max="38" width="9.85546875" style="2" bestFit="1" customWidth="1"/>
    <col min="39" max="39" width="10.85546875" style="2" bestFit="1" customWidth="1"/>
    <col min="40" max="40" width="10.7109375" style="2" bestFit="1" customWidth="1"/>
    <col min="41" max="41" width="10.140625" style="2" bestFit="1" customWidth="1"/>
    <col min="42" max="45" width="10.28515625" style="2" bestFit="1" customWidth="1"/>
    <col min="46" max="46" width="10.7109375" style="2" bestFit="1" customWidth="1"/>
    <col min="47" max="47" width="10.28515625" style="2" bestFit="1" customWidth="1"/>
    <col min="48" max="48" width="10.85546875" style="2" bestFit="1" customWidth="1"/>
    <col min="49" max="49" width="10.28515625" style="2" bestFit="1" customWidth="1"/>
    <col min="50" max="50" width="9.85546875" style="2" bestFit="1" customWidth="1"/>
    <col min="51" max="51" width="10.85546875" style="2" bestFit="1" customWidth="1"/>
    <col min="52" max="52" width="10.7109375" style="2" bestFit="1" customWidth="1"/>
    <col min="53" max="53" width="10.140625" style="2" bestFit="1" customWidth="1"/>
    <col min="54" max="55" width="10.28515625" style="2" bestFit="1" customWidth="1"/>
    <col min="56" max="56" width="2.7109375" style="2" customWidth="1"/>
    <col min="57" max="256" width="0" style="2" hidden="1" customWidth="1"/>
    <col min="257" max="16384" width="8.85546875" style="2"/>
  </cols>
  <sheetData>
    <row r="1" spans="1:7" s="20" customFormat="1" ht="20.25" x14ac:dyDescent="0.3">
      <c r="A1" s="19" t="str">
        <f ca="1">MID(CELL("filename",A1),FIND("[",CELL("filename",A1))+1,FIND("]",CELL("filename",A1))-FIND("[",CELL("filename",A1))-6)</f>
        <v>Project Dipa  - Long List v2</v>
      </c>
      <c r="D1" s="21"/>
      <c r="E1" s="21"/>
    </row>
    <row r="2" spans="1:7" s="23" customFormat="1" ht="18" x14ac:dyDescent="0.25">
      <c r="A2" s="22" t="str">
        <f ca="1">MID(CELL("filename",A2),FIND("]",CELL("filename",A2))+1,LEN(CELL("filename",A2)))</f>
        <v>Template</v>
      </c>
      <c r="D2" s="24"/>
      <c r="E2" s="24"/>
      <c r="G2" s="34"/>
    </row>
    <row r="3" spans="1:7" s="26" customFormat="1" x14ac:dyDescent="0.2">
      <c r="A3" s="25"/>
      <c r="D3" s="27"/>
      <c r="E3" s="27"/>
      <c r="F3" s="28"/>
      <c r="G3" s="35"/>
    </row>
    <row r="4" spans="1:7" s="26" customFormat="1" x14ac:dyDescent="0.2">
      <c r="A4" s="25"/>
      <c r="D4" s="27"/>
      <c r="E4" s="27"/>
      <c r="F4" s="28"/>
      <c r="G4" s="35"/>
    </row>
    <row r="5" spans="1:7" s="30" customFormat="1" x14ac:dyDescent="0.2">
      <c r="A5" s="29" t="e">
        <f>#REF!</f>
        <v>#REF!</v>
      </c>
      <c r="F5" s="31"/>
      <c r="G5" s="31"/>
    </row>
    <row r="6" spans="1:7" s="30" customFormat="1" x14ac:dyDescent="0.2">
      <c r="A6" s="29" t="e">
        <f>#REF!</f>
        <v>#REF!</v>
      </c>
      <c r="F6" s="31"/>
      <c r="G6" s="31"/>
    </row>
    <row r="7" spans="1:7" s="30" customFormat="1" x14ac:dyDescent="0.2">
      <c r="A7" s="29"/>
      <c r="F7" s="31"/>
      <c r="G7" s="31"/>
    </row>
    <row r="8" spans="1:7" s="30" customFormat="1" x14ac:dyDescent="0.2">
      <c r="A8" s="29"/>
      <c r="F8" s="31"/>
      <c r="G8" s="31"/>
    </row>
    <row r="9" spans="1:7" s="30" customFormat="1" x14ac:dyDescent="0.2">
      <c r="A9" s="29"/>
      <c r="F9" s="31"/>
      <c r="G9" s="31"/>
    </row>
    <row r="10" spans="1:7" s="30" customFormat="1" x14ac:dyDescent="0.2">
      <c r="A10" s="32"/>
      <c r="F10" s="31"/>
      <c r="G10" s="31"/>
    </row>
    <row r="11" spans="1:7" s="23" customFormat="1" ht="4.5" customHeight="1" x14ac:dyDescent="0.2">
      <c r="A11" s="33"/>
      <c r="D11" s="24"/>
      <c r="E11" s="24"/>
    </row>
    <row r="12" spans="1:7" ht="13.5" thickBot="1" x14ac:dyDescent="0.25"/>
    <row r="13" spans="1:7" s="9" customFormat="1" ht="15.75" x14ac:dyDescent="0.25">
      <c r="A13" s="9">
        <f>Header1</f>
        <v>1</v>
      </c>
      <c r="B13" s="9" t="s">
        <v>0</v>
      </c>
      <c r="D13" s="10"/>
      <c r="E13" s="10"/>
    </row>
    <row r="15" spans="1:7" ht="13.5" x14ac:dyDescent="0.2">
      <c r="B15" s="7"/>
      <c r="C15" s="7"/>
    </row>
    <row r="16" spans="1:7" ht="13.5" x14ac:dyDescent="0.2">
      <c r="B16" s="7"/>
      <c r="C16" s="7"/>
    </row>
    <row r="17" spans="2:6" ht="38.25" customHeight="1" x14ac:dyDescent="0.2">
      <c r="B17" s="7"/>
      <c r="C17" s="7"/>
      <c r="D17" s="85" t="s">
        <v>15</v>
      </c>
      <c r="E17" s="86" t="s">
        <v>1005</v>
      </c>
      <c r="F17" s="81"/>
    </row>
    <row r="18" spans="2:6" ht="13.5" x14ac:dyDescent="0.2">
      <c r="B18" s="7"/>
      <c r="C18" s="7"/>
      <c r="D18" s="82" t="s">
        <v>70</v>
      </c>
      <c r="E18" s="5">
        <f>+COUNTIF('I_Long List'!$G$10:$G$140, Template!D18)</f>
        <v>49</v>
      </c>
      <c r="F18" s="81"/>
    </row>
    <row r="19" spans="2:6" ht="13.5" x14ac:dyDescent="0.2">
      <c r="B19" s="7"/>
      <c r="C19" s="7"/>
      <c r="D19" t="s">
        <v>92</v>
      </c>
      <c r="E19" s="87">
        <f>+COUNTIF('I_Long List'!$G$10:$G$140, Template!D19)</f>
        <v>1</v>
      </c>
      <c r="F19" s="81"/>
    </row>
    <row r="20" spans="2:6" ht="13.5" x14ac:dyDescent="0.2">
      <c r="B20" s="7"/>
      <c r="C20" s="7"/>
      <c r="D20" s="82" t="s">
        <v>87</v>
      </c>
      <c r="E20" s="5">
        <f>+COUNTIF('I_Long List'!$G$10:$G$140, Template!D20)</f>
        <v>8</v>
      </c>
      <c r="F20" s="81"/>
    </row>
    <row r="21" spans="2:6" ht="13.5" x14ac:dyDescent="0.2">
      <c r="B21" s="7"/>
      <c r="C21" s="7"/>
      <c r="D21" s="84" t="s">
        <v>73</v>
      </c>
      <c r="E21" s="88">
        <f>+COUNTIF('I_Long List'!$G$10:$G$140, Template!D21)</f>
        <v>73</v>
      </c>
      <c r="F21" s="81"/>
    </row>
    <row r="22" spans="2:6" ht="13.5" x14ac:dyDescent="0.2">
      <c r="B22" s="7"/>
      <c r="C22" s="7"/>
      <c r="D22" s="83" t="s">
        <v>1006</v>
      </c>
      <c r="E22" s="5">
        <f>+SUM(E18:E21)</f>
        <v>131</v>
      </c>
      <c r="F22" s="81"/>
    </row>
    <row r="23" spans="2:6" ht="13.5" x14ac:dyDescent="0.2">
      <c r="B23" s="7"/>
      <c r="C23" s="7"/>
      <c r="D23"/>
      <c r="E23"/>
      <c r="F23" s="81"/>
    </row>
    <row r="24" spans="2:6" ht="13.5" x14ac:dyDescent="0.2">
      <c r="B24" s="7"/>
      <c r="C24" s="7"/>
      <c r="D24"/>
      <c r="E24"/>
      <c r="F24" s="81"/>
    </row>
    <row r="25" spans="2:6" ht="13.5" x14ac:dyDescent="0.2">
      <c r="B25" s="7"/>
      <c r="C25" s="7"/>
      <c r="D25"/>
      <c r="E25"/>
      <c r="F25" s="81"/>
    </row>
    <row r="26" spans="2:6" ht="13.5" x14ac:dyDescent="0.2">
      <c r="B26" s="7"/>
      <c r="C26" s="7"/>
      <c r="D26"/>
      <c r="E26"/>
      <c r="F26" s="81"/>
    </row>
    <row r="27" spans="2:6" ht="13.5" x14ac:dyDescent="0.2">
      <c r="B27" s="7"/>
      <c r="C27" s="7"/>
      <c r="D27"/>
      <c r="E27"/>
      <c r="F27" s="81"/>
    </row>
    <row r="28" spans="2:6" ht="13.5" x14ac:dyDescent="0.2">
      <c r="B28" s="7"/>
      <c r="C28" s="7"/>
      <c r="D28"/>
      <c r="E28"/>
      <c r="F28" s="81"/>
    </row>
    <row r="29" spans="2:6" ht="13.5" x14ac:dyDescent="0.2">
      <c r="B29" s="7"/>
      <c r="C29" s="7"/>
      <c r="D29"/>
      <c r="E29"/>
      <c r="F29" s="81"/>
    </row>
    <row r="30" spans="2:6" ht="13.5" x14ac:dyDescent="0.2">
      <c r="B30" s="7"/>
      <c r="C30" s="7"/>
      <c r="D30"/>
      <c r="E30"/>
      <c r="F30" s="81"/>
    </row>
    <row r="31" spans="2:6" ht="13.5" x14ac:dyDescent="0.2">
      <c r="B31" s="7"/>
      <c r="C31" s="7"/>
      <c r="D31"/>
      <c r="E31"/>
    </row>
    <row r="32" spans="2:6" ht="13.5" x14ac:dyDescent="0.2">
      <c r="B32" s="7"/>
      <c r="C32" s="7"/>
      <c r="D32"/>
      <c r="E32"/>
    </row>
    <row r="33" spans="2:5" ht="13.5" x14ac:dyDescent="0.2">
      <c r="B33" s="7"/>
      <c r="C33" s="7"/>
      <c r="D33"/>
      <c r="E33"/>
    </row>
    <row r="34" spans="2:5" ht="13.5" x14ac:dyDescent="0.2">
      <c r="B34" s="7"/>
      <c r="C34" s="7"/>
      <c r="D34"/>
      <c r="E34"/>
    </row>
    <row r="35" spans="2:5" ht="13.5" x14ac:dyDescent="0.2">
      <c r="B35" s="7"/>
      <c r="C35" s="7"/>
      <c r="D35"/>
      <c r="E35"/>
    </row>
    <row r="36" spans="2:5" ht="13.5" x14ac:dyDescent="0.2">
      <c r="B36" s="7"/>
      <c r="C36" s="7"/>
      <c r="D36"/>
      <c r="E36"/>
    </row>
    <row r="37" spans="2:5" ht="13.5" x14ac:dyDescent="0.2">
      <c r="B37" s="7"/>
      <c r="C37" s="7"/>
      <c r="D37"/>
      <c r="E37"/>
    </row>
    <row r="38" spans="2:5" ht="13.5" x14ac:dyDescent="0.2">
      <c r="B38" s="7"/>
      <c r="C38" s="7"/>
      <c r="D38"/>
      <c r="E38"/>
    </row>
    <row r="39" spans="2:5" ht="13.5" x14ac:dyDescent="0.2">
      <c r="B39" s="7"/>
      <c r="C39" s="7"/>
      <c r="D39"/>
      <c r="E39"/>
    </row>
    <row r="40" spans="2:5" ht="13.5" x14ac:dyDescent="0.2">
      <c r="B40" s="7"/>
      <c r="C40" s="7"/>
      <c r="D40"/>
      <c r="E40"/>
    </row>
    <row r="41" spans="2:5" ht="13.5" x14ac:dyDescent="0.2">
      <c r="B41" s="7"/>
      <c r="C41" s="7"/>
      <c r="D41"/>
      <c r="E41"/>
    </row>
    <row r="42" spans="2:5" ht="13.5" x14ac:dyDescent="0.2">
      <c r="B42" s="7"/>
      <c r="C42" s="7"/>
      <c r="D42"/>
      <c r="E42"/>
    </row>
    <row r="43" spans="2:5" ht="13.5" x14ac:dyDescent="0.2">
      <c r="B43" s="7"/>
      <c r="C43" s="7"/>
      <c r="D43"/>
      <c r="E43"/>
    </row>
    <row r="44" spans="2:5" ht="13.5" x14ac:dyDescent="0.2">
      <c r="B44" s="7"/>
      <c r="C44" s="7"/>
      <c r="D44"/>
      <c r="E44"/>
    </row>
    <row r="45" spans="2:5" ht="13.5" x14ac:dyDescent="0.2">
      <c r="B45" s="7"/>
      <c r="C45" s="7"/>
      <c r="D45"/>
      <c r="E45"/>
    </row>
    <row r="46" spans="2:5" ht="13.5" x14ac:dyDescent="0.2">
      <c r="B46" s="7"/>
      <c r="C46" s="7"/>
      <c r="D46"/>
      <c r="E46"/>
    </row>
    <row r="47" spans="2:5" ht="13.5" x14ac:dyDescent="0.2">
      <c r="B47" s="7"/>
      <c r="C47" s="7"/>
      <c r="D47"/>
      <c r="E47"/>
    </row>
    <row r="48" spans="2:5" ht="13.5" x14ac:dyDescent="0.2">
      <c r="B48" s="7"/>
      <c r="C48" s="7"/>
      <c r="D48"/>
      <c r="E48"/>
    </row>
    <row r="49" spans="2:5" ht="13.5" x14ac:dyDescent="0.2">
      <c r="B49" s="7"/>
      <c r="C49" s="7"/>
      <c r="D49"/>
      <c r="E49"/>
    </row>
    <row r="50" spans="2:5" ht="13.5" x14ac:dyDescent="0.2">
      <c r="B50" s="7"/>
      <c r="C50" s="7"/>
      <c r="D50"/>
      <c r="E50"/>
    </row>
    <row r="51" spans="2:5" ht="13.5" x14ac:dyDescent="0.2">
      <c r="B51" s="7"/>
      <c r="C51" s="7"/>
      <c r="D51"/>
      <c r="E51"/>
    </row>
    <row r="52" spans="2:5" ht="13.5" x14ac:dyDescent="0.2">
      <c r="B52" s="7"/>
      <c r="C52" s="7"/>
      <c r="D52"/>
      <c r="E52"/>
    </row>
    <row r="53" spans="2:5" ht="13.5" x14ac:dyDescent="0.2">
      <c r="B53" s="7"/>
      <c r="C53" s="7"/>
      <c r="D53"/>
      <c r="E53"/>
    </row>
    <row r="54" spans="2:5" ht="13.5" x14ac:dyDescent="0.2">
      <c r="B54" s="7"/>
      <c r="C54" s="7"/>
      <c r="D54"/>
      <c r="E54"/>
    </row>
    <row r="55" spans="2:5" ht="13.5" x14ac:dyDescent="0.2">
      <c r="B55" s="7"/>
      <c r="C55" s="7"/>
      <c r="D55"/>
      <c r="E55"/>
    </row>
    <row r="56" spans="2:5" ht="13.5" x14ac:dyDescent="0.2">
      <c r="B56" s="7"/>
      <c r="C56" s="7"/>
      <c r="D56"/>
      <c r="E56"/>
    </row>
    <row r="57" spans="2:5" ht="13.5" x14ac:dyDescent="0.2">
      <c r="B57" s="7"/>
      <c r="C57" s="7"/>
      <c r="D57"/>
      <c r="E57"/>
    </row>
    <row r="58" spans="2:5" ht="13.5" x14ac:dyDescent="0.2">
      <c r="B58" s="7"/>
      <c r="C58" s="7"/>
      <c r="D58"/>
      <c r="E58"/>
    </row>
    <row r="59" spans="2:5" ht="13.5" x14ac:dyDescent="0.2">
      <c r="B59" s="7"/>
      <c r="C59" s="7"/>
      <c r="D59"/>
      <c r="E59"/>
    </row>
    <row r="60" spans="2:5" ht="13.5" x14ac:dyDescent="0.2">
      <c r="B60" s="7"/>
      <c r="C60" s="7"/>
      <c r="D60"/>
      <c r="E60"/>
    </row>
    <row r="61" spans="2:5" ht="13.5" x14ac:dyDescent="0.2">
      <c r="B61" s="7"/>
      <c r="C61" s="7"/>
      <c r="D61"/>
      <c r="E61"/>
    </row>
    <row r="62" spans="2:5" ht="13.5" x14ac:dyDescent="0.2">
      <c r="B62" s="7"/>
      <c r="C62" s="7"/>
      <c r="D62"/>
      <c r="E62"/>
    </row>
    <row r="63" spans="2:5" ht="13.5" x14ac:dyDescent="0.2">
      <c r="B63" s="7"/>
      <c r="C63" s="7"/>
      <c r="D63"/>
      <c r="E63"/>
    </row>
    <row r="64" spans="2:5" ht="13.5" x14ac:dyDescent="0.2">
      <c r="B64" s="7"/>
      <c r="C64" s="7"/>
      <c r="D64"/>
      <c r="E64"/>
    </row>
    <row r="65" spans="1:5" ht="13.5" x14ac:dyDescent="0.2">
      <c r="B65" s="7"/>
      <c r="C65" s="7"/>
      <c r="D65"/>
      <c r="E65"/>
    </row>
    <row r="66" spans="1:5" ht="13.5" x14ac:dyDescent="0.2">
      <c r="B66" s="7"/>
      <c r="C66" s="7"/>
      <c r="D66"/>
      <c r="E66"/>
    </row>
    <row r="67" spans="1:5" ht="13.5" x14ac:dyDescent="0.2">
      <c r="B67" s="7"/>
      <c r="C67" s="7"/>
      <c r="D67"/>
      <c r="E67"/>
    </row>
    <row r="68" spans="1:5" ht="13.5" x14ac:dyDescent="0.2">
      <c r="B68" s="7"/>
      <c r="C68" s="7"/>
      <c r="D68"/>
      <c r="E68"/>
    </row>
    <row r="69" spans="1:5" x14ac:dyDescent="0.2">
      <c r="D69"/>
      <c r="E69"/>
    </row>
    <row r="70" spans="1:5" x14ac:dyDescent="0.2">
      <c r="C70" s="8"/>
      <c r="D70"/>
      <c r="E70"/>
    </row>
    <row r="71" spans="1:5" x14ac:dyDescent="0.2">
      <c r="D71"/>
      <c r="E71"/>
    </row>
    <row r="72" spans="1:5" x14ac:dyDescent="0.2">
      <c r="D72"/>
      <c r="E72"/>
    </row>
    <row r="73" spans="1:5" x14ac:dyDescent="0.2">
      <c r="D73"/>
      <c r="E73"/>
    </row>
    <row r="74" spans="1:5" x14ac:dyDescent="0.2">
      <c r="D74"/>
      <c r="E74"/>
    </row>
    <row r="75" spans="1:5" s="15" customFormat="1" ht="15.75" x14ac:dyDescent="0.25">
      <c r="A75" s="14" t="s">
        <v>1</v>
      </c>
      <c r="D75"/>
      <c r="E75"/>
    </row>
    <row r="76" spans="1:5" x14ac:dyDescent="0.2">
      <c r="D76"/>
      <c r="E76"/>
    </row>
    <row r="77" spans="1:5" x14ac:dyDescent="0.2">
      <c r="D77"/>
      <c r="E77"/>
    </row>
    <row r="78" spans="1:5" x14ac:dyDescent="0.2">
      <c r="D78"/>
      <c r="E78"/>
    </row>
    <row r="79" spans="1:5" x14ac:dyDescent="0.2">
      <c r="D79"/>
      <c r="E79"/>
    </row>
    <row r="80" spans="1:5" x14ac:dyDescent="0.2">
      <c r="D80"/>
      <c r="E80"/>
    </row>
    <row r="81" spans="4:5" x14ac:dyDescent="0.2">
      <c r="D81"/>
      <c r="E81"/>
    </row>
    <row r="82" spans="4:5" x14ac:dyDescent="0.2">
      <c r="D82"/>
      <c r="E82"/>
    </row>
    <row r="83" spans="4:5" x14ac:dyDescent="0.2">
      <c r="D83"/>
      <c r="E83"/>
    </row>
    <row r="84" spans="4:5" x14ac:dyDescent="0.2">
      <c r="D84"/>
      <c r="E84"/>
    </row>
    <row r="85" spans="4:5" x14ac:dyDescent="0.2">
      <c r="D85"/>
      <c r="E85"/>
    </row>
    <row r="86" spans="4:5" x14ac:dyDescent="0.2">
      <c r="D86"/>
      <c r="E86"/>
    </row>
    <row r="87" spans="4:5" x14ac:dyDescent="0.2">
      <c r="D87"/>
      <c r="E87"/>
    </row>
    <row r="88" spans="4:5" x14ac:dyDescent="0.2">
      <c r="D88"/>
      <c r="E88"/>
    </row>
    <row r="89" spans="4:5" x14ac:dyDescent="0.2">
      <c r="D89"/>
      <c r="E89"/>
    </row>
    <row r="90" spans="4:5" x14ac:dyDescent="0.2">
      <c r="D90"/>
      <c r="E90"/>
    </row>
    <row r="91" spans="4:5" x14ac:dyDescent="0.2">
      <c r="D91"/>
      <c r="E91"/>
    </row>
    <row r="92" spans="4:5" x14ac:dyDescent="0.2">
      <c r="D92"/>
      <c r="E92"/>
    </row>
    <row r="93" spans="4:5" x14ac:dyDescent="0.2">
      <c r="D93"/>
      <c r="E93"/>
    </row>
    <row r="94" spans="4:5" x14ac:dyDescent="0.2">
      <c r="D94"/>
      <c r="E94"/>
    </row>
    <row r="95" spans="4:5" x14ac:dyDescent="0.2">
      <c r="D95"/>
      <c r="E95"/>
    </row>
    <row r="96" spans="4:5" x14ac:dyDescent="0.2">
      <c r="D96"/>
      <c r="E96"/>
    </row>
    <row r="97" spans="4:5" x14ac:dyDescent="0.2">
      <c r="D97"/>
      <c r="E97"/>
    </row>
    <row r="98" spans="4:5" x14ac:dyDescent="0.2">
      <c r="D98"/>
      <c r="E98"/>
    </row>
    <row r="99" spans="4:5" x14ac:dyDescent="0.2">
      <c r="D99"/>
      <c r="E99"/>
    </row>
    <row r="100" spans="4:5" x14ac:dyDescent="0.2">
      <c r="D100"/>
      <c r="E100"/>
    </row>
    <row r="101" spans="4:5" x14ac:dyDescent="0.2">
      <c r="D101"/>
      <c r="E101"/>
    </row>
    <row r="102" spans="4:5" x14ac:dyDescent="0.2">
      <c r="D102"/>
      <c r="E102"/>
    </row>
    <row r="103" spans="4:5" x14ac:dyDescent="0.2">
      <c r="D103"/>
      <c r="E103"/>
    </row>
    <row r="104" spans="4:5" x14ac:dyDescent="0.2">
      <c r="D104"/>
      <c r="E104"/>
    </row>
    <row r="105" spans="4:5" x14ac:dyDescent="0.2">
      <c r="D105"/>
      <c r="E105"/>
    </row>
    <row r="106" spans="4:5" x14ac:dyDescent="0.2">
      <c r="D106"/>
      <c r="E106"/>
    </row>
    <row r="107" spans="4:5" x14ac:dyDescent="0.2">
      <c r="D107"/>
      <c r="E107"/>
    </row>
    <row r="108" spans="4:5" x14ac:dyDescent="0.2">
      <c r="D108"/>
      <c r="E108"/>
    </row>
    <row r="109" spans="4:5" x14ac:dyDescent="0.2">
      <c r="D109"/>
      <c r="E109"/>
    </row>
    <row r="110" spans="4:5" x14ac:dyDescent="0.2">
      <c r="D110"/>
      <c r="E110"/>
    </row>
    <row r="111" spans="4:5" x14ac:dyDescent="0.2">
      <c r="D111"/>
      <c r="E111"/>
    </row>
    <row r="112" spans="4:5" x14ac:dyDescent="0.2">
      <c r="D112"/>
      <c r="E112"/>
    </row>
    <row r="113" spans="4:5" x14ac:dyDescent="0.2">
      <c r="D113"/>
      <c r="E113"/>
    </row>
    <row r="114" spans="4:5" x14ac:dyDescent="0.2">
      <c r="D114"/>
      <c r="E114"/>
    </row>
    <row r="115" spans="4:5" x14ac:dyDescent="0.2">
      <c r="D115"/>
      <c r="E115"/>
    </row>
    <row r="116" spans="4:5" x14ac:dyDescent="0.2">
      <c r="D116"/>
      <c r="E116"/>
    </row>
    <row r="117" spans="4:5" x14ac:dyDescent="0.2">
      <c r="D117"/>
      <c r="E117"/>
    </row>
    <row r="118" spans="4:5" x14ac:dyDescent="0.2">
      <c r="D118"/>
      <c r="E118"/>
    </row>
    <row r="119" spans="4:5" x14ac:dyDescent="0.2">
      <c r="D119"/>
      <c r="E119"/>
    </row>
    <row r="120" spans="4:5" x14ac:dyDescent="0.2">
      <c r="D120"/>
      <c r="E120"/>
    </row>
    <row r="121" spans="4:5" x14ac:dyDescent="0.2">
      <c r="D121"/>
      <c r="E121"/>
    </row>
    <row r="122" spans="4:5" x14ac:dyDescent="0.2">
      <c r="D122"/>
      <c r="E122"/>
    </row>
    <row r="123" spans="4:5" x14ac:dyDescent="0.2">
      <c r="D123"/>
      <c r="E123"/>
    </row>
    <row r="124" spans="4:5" x14ac:dyDescent="0.2">
      <c r="D124"/>
      <c r="E124"/>
    </row>
    <row r="125" spans="4:5" x14ac:dyDescent="0.2">
      <c r="D125"/>
      <c r="E125"/>
    </row>
    <row r="126" spans="4:5" x14ac:dyDescent="0.2">
      <c r="D126"/>
      <c r="E126"/>
    </row>
    <row r="127" spans="4:5" x14ac:dyDescent="0.2">
      <c r="D127"/>
      <c r="E127"/>
    </row>
    <row r="128" spans="4:5" x14ac:dyDescent="0.2">
      <c r="D128"/>
      <c r="E128"/>
    </row>
    <row r="129" spans="4:5" x14ac:dyDescent="0.2">
      <c r="D129"/>
      <c r="E129"/>
    </row>
    <row r="130" spans="4:5" x14ac:dyDescent="0.2">
      <c r="D130"/>
      <c r="E130"/>
    </row>
    <row r="131" spans="4:5" x14ac:dyDescent="0.2">
      <c r="D131"/>
      <c r="E131"/>
    </row>
    <row r="132" spans="4:5" x14ac:dyDescent="0.2">
      <c r="D132"/>
      <c r="E132"/>
    </row>
    <row r="133" spans="4:5" x14ac:dyDescent="0.2">
      <c r="D133"/>
      <c r="E133"/>
    </row>
    <row r="134" spans="4:5" x14ac:dyDescent="0.2">
      <c r="D134"/>
      <c r="E134"/>
    </row>
    <row r="135" spans="4:5" x14ac:dyDescent="0.2">
      <c r="D135"/>
      <c r="E135"/>
    </row>
    <row r="136" spans="4:5" x14ac:dyDescent="0.2">
      <c r="D136"/>
      <c r="E136"/>
    </row>
    <row r="137" spans="4:5" x14ac:dyDescent="0.2">
      <c r="D137"/>
      <c r="E137"/>
    </row>
    <row r="138" spans="4:5" x14ac:dyDescent="0.2">
      <c r="D138"/>
      <c r="E138"/>
    </row>
    <row r="139" spans="4:5" x14ac:dyDescent="0.2">
      <c r="D139"/>
      <c r="E139"/>
    </row>
    <row r="140" spans="4:5" x14ac:dyDescent="0.2">
      <c r="D140"/>
      <c r="E140"/>
    </row>
    <row r="141" spans="4:5" x14ac:dyDescent="0.2">
      <c r="D141"/>
      <c r="E141"/>
    </row>
    <row r="142" spans="4:5" x14ac:dyDescent="0.2">
      <c r="D142"/>
      <c r="E142"/>
    </row>
    <row r="143" spans="4:5" x14ac:dyDescent="0.2">
      <c r="D143"/>
      <c r="E143"/>
    </row>
    <row r="144" spans="4:5" x14ac:dyDescent="0.2">
      <c r="D144"/>
      <c r="E144"/>
    </row>
    <row r="145" spans="4:5" x14ac:dyDescent="0.2">
      <c r="D145"/>
      <c r="E145"/>
    </row>
    <row r="146" spans="4:5" x14ac:dyDescent="0.2">
      <c r="D146"/>
      <c r="E146"/>
    </row>
    <row r="147" spans="4:5" x14ac:dyDescent="0.2">
      <c r="D147"/>
      <c r="E147"/>
    </row>
    <row r="148" spans="4:5" x14ac:dyDescent="0.2">
      <c r="D148"/>
      <c r="E148"/>
    </row>
    <row r="149" spans="4:5" x14ac:dyDescent="0.2">
      <c r="D149"/>
      <c r="E149"/>
    </row>
  </sheetData>
  <conditionalFormatting sqref="A10:A11">
    <cfRule type="expression" dxfId="7" priority="151" stopIfTrue="1">
      <formula>ABS(MasterCheck)&gt;Tolerance</formula>
    </cfRule>
  </conditionalFormatting>
  <conditionalFormatting sqref="A7:A9">
    <cfRule type="expression" dxfId="6" priority="3" stopIfTrue="1">
      <formula>ABS(MasterCheck)&gt;Tolerance</formula>
    </cfRule>
  </conditionalFormatting>
  <conditionalFormatting sqref="A6">
    <cfRule type="expression" dxfId="5" priority="2" stopIfTrue="1">
      <formula>ABS(MasterCheck)&gt;Tolerance</formula>
    </cfRule>
  </conditionalFormatting>
  <conditionalFormatting sqref="A5">
    <cfRule type="expression" dxfId="4" priority="1" stopIfTrue="1">
      <formula>ABS(MasterCheck)&gt;Tolerance</formula>
    </cfRule>
  </conditionalFormatting>
  <pageMargins left="0" right="0" top="0" bottom="0.78740157480314965" header="0" footer="0.51181102362204722"/>
  <pageSetup paperSize="8" fitToHeight="0" orientation="landscape" r:id="rId1"/>
  <headerFooter alignWithMargins="0">
    <oddFooter>&amp;L
&amp;A&amp;C
&amp;P  of  &amp;N&amp;R&amp;F
&amp;D &amp;T</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FF00"/>
    <outlinePr summaryBelow="0"/>
    <pageSetUpPr autoPageBreaks="0" fitToPage="1"/>
  </sheetPr>
  <dimension ref="A1:G39"/>
  <sheetViews>
    <sheetView showGridLines="0" zoomScale="85" zoomScaleNormal="85" zoomScaleSheetLayoutView="85" zoomScalePageLayoutView="85" workbookViewId="0">
      <selection activeCell="I33" sqref="I33"/>
    </sheetView>
  </sheetViews>
  <sheetFormatPr defaultColWidth="9.140625" defaultRowHeight="12.75" outlineLevelRow="1" x14ac:dyDescent="0.2"/>
  <cols>
    <col min="1" max="1" width="3.7109375" style="1" customWidth="1"/>
    <col min="2" max="2" width="5.85546875" style="2" customWidth="1"/>
    <col min="3" max="3" width="7" style="2" customWidth="1"/>
    <col min="4" max="5" width="9.140625" style="5"/>
    <col min="6" max="13" width="9.140625" style="2"/>
    <col min="14" max="14" width="9.85546875" style="2" customWidth="1"/>
    <col min="15" max="23" width="9.140625" style="2"/>
    <col min="24" max="24" width="10.85546875" style="2" customWidth="1"/>
    <col min="25" max="38" width="9.140625" style="2"/>
    <col min="39" max="39" width="9.85546875" style="2" customWidth="1"/>
    <col min="40" max="40" width="10.85546875" style="2" customWidth="1"/>
    <col min="41" max="41" width="12.85546875" style="2" customWidth="1"/>
    <col min="42" max="42" width="2.85546875" style="2" customWidth="1"/>
    <col min="43" max="43" width="10.28515625" style="2" customWidth="1"/>
    <col min="44" max="44" width="3.28515625" style="2" customWidth="1"/>
    <col min="45" max="45" width="2.7109375" style="2" customWidth="1"/>
    <col min="46" max="16384" width="9.140625" style="2"/>
  </cols>
  <sheetData>
    <row r="1" spans="1:7" s="20" customFormat="1" ht="20.25" x14ac:dyDescent="0.3">
      <c r="A1" s="19" t="str">
        <f ca="1">MID(CELL("filename",A1),FIND("[",CELL("filename",A1))+1,FIND("]",CELL("filename",A1))-FIND("[",CELL("filename",A1))-6)</f>
        <v>Project Dipa  - Long List v2</v>
      </c>
      <c r="D1" s="21"/>
      <c r="E1" s="21"/>
    </row>
    <row r="2" spans="1:7" s="23" customFormat="1" ht="18" x14ac:dyDescent="0.25">
      <c r="A2" s="22" t="str">
        <f ca="1">MID(CELL("filename",A2),FIND("]",CELL("filename",A2))+1,LEN(CELL("filename",A2)))</f>
        <v>I_Gen</v>
      </c>
      <c r="D2" s="24"/>
      <c r="E2" s="24"/>
      <c r="G2" s="34"/>
    </row>
    <row r="3" spans="1:7" s="26" customFormat="1" x14ac:dyDescent="0.2">
      <c r="A3" s="25"/>
      <c r="D3" s="27"/>
      <c r="E3" s="27"/>
      <c r="F3" s="28"/>
      <c r="G3" s="35"/>
    </row>
    <row r="4" spans="1:7" s="26" customFormat="1" x14ac:dyDescent="0.2">
      <c r="A4" s="25"/>
      <c r="D4" s="27"/>
      <c r="E4" s="27"/>
      <c r="F4" s="28"/>
      <c r="G4" s="35"/>
    </row>
    <row r="5" spans="1:7" s="30" customFormat="1" x14ac:dyDescent="0.2">
      <c r="A5" s="29" t="e">
        <f>#REF!</f>
        <v>#REF!</v>
      </c>
      <c r="F5" s="31"/>
      <c r="G5" s="31"/>
    </row>
    <row r="6" spans="1:7" s="30" customFormat="1" x14ac:dyDescent="0.2">
      <c r="A6" s="29" t="e">
        <f>#REF!</f>
        <v>#REF!</v>
      </c>
      <c r="F6" s="31"/>
      <c r="G6" s="31"/>
    </row>
    <row r="7" spans="1:7" s="30" customFormat="1" x14ac:dyDescent="0.2">
      <c r="A7" s="29"/>
      <c r="F7" s="31"/>
      <c r="G7" s="31"/>
    </row>
    <row r="8" spans="1:7" s="30" customFormat="1" x14ac:dyDescent="0.2">
      <c r="A8" s="29"/>
      <c r="F8" s="31"/>
      <c r="G8" s="31"/>
    </row>
    <row r="9" spans="1:7" s="30" customFormat="1" x14ac:dyDescent="0.2">
      <c r="A9" s="29"/>
      <c r="F9" s="31"/>
      <c r="G9" s="31"/>
    </row>
    <row r="10" spans="1:7" s="30" customFormat="1" x14ac:dyDescent="0.2">
      <c r="A10" s="32"/>
      <c r="F10" s="31"/>
      <c r="G10" s="31"/>
    </row>
    <row r="11" spans="1:7" s="23" customFormat="1" ht="4.5" customHeight="1" x14ac:dyDescent="0.2">
      <c r="A11" s="33"/>
      <c r="D11" s="24"/>
      <c r="E11" s="24"/>
    </row>
    <row r="12" spans="1:7" ht="13.5" thickBot="1" x14ac:dyDescent="0.25"/>
    <row r="13" spans="1:7" s="9" customFormat="1" ht="15.75" x14ac:dyDescent="0.25">
      <c r="A13" s="9">
        <f>Header1</f>
        <v>1</v>
      </c>
      <c r="B13" s="9" t="s">
        <v>2</v>
      </c>
      <c r="D13" s="10"/>
      <c r="E13" s="10"/>
    </row>
    <row r="14" spans="1:7" outlineLevel="1" x14ac:dyDescent="0.2"/>
    <row r="15" spans="1:7" outlineLevel="1" x14ac:dyDescent="0.2"/>
    <row r="16" spans="1:7" s="4" customFormat="1" ht="13.5" outlineLevel="1" x14ac:dyDescent="0.2">
      <c r="B16" s="7" t="str" cm="1">
        <f t="array" ref="B16">Header2</f>
        <v>1.1</v>
      </c>
      <c r="C16" s="7" t="s">
        <v>4</v>
      </c>
      <c r="D16" s="6"/>
    </row>
    <row r="17" spans="2:5" outlineLevel="1" x14ac:dyDescent="0.2">
      <c r="E17" s="2"/>
    </row>
    <row r="18" spans="2:5" outlineLevel="1" x14ac:dyDescent="0.2">
      <c r="D18" s="2"/>
      <c r="E18" s="2"/>
    </row>
    <row r="19" spans="2:5" outlineLevel="1" x14ac:dyDescent="0.2">
      <c r="D19" s="2"/>
      <c r="E19" s="2"/>
    </row>
    <row r="20" spans="2:5" outlineLevel="1" x14ac:dyDescent="0.2">
      <c r="D20" s="2"/>
      <c r="E20" s="2"/>
    </row>
    <row r="21" spans="2:5" outlineLevel="1" x14ac:dyDescent="0.2">
      <c r="D21" s="2"/>
      <c r="E21" s="2"/>
    </row>
    <row r="22" spans="2:5" outlineLevel="1" x14ac:dyDescent="0.2">
      <c r="E22" s="2"/>
    </row>
    <row r="23" spans="2:5" ht="13.5" outlineLevel="1" x14ac:dyDescent="0.2">
      <c r="B23" s="7" t="str" cm="1">
        <f t="array" ref="B23">Header2</f>
        <v>1.2</v>
      </c>
      <c r="C23" s="7" t="s">
        <v>11</v>
      </c>
    </row>
    <row r="24" spans="2:5" outlineLevel="1" x14ac:dyDescent="0.2"/>
    <row r="25" spans="2:5" outlineLevel="1" x14ac:dyDescent="0.2"/>
    <row r="26" spans="2:5" outlineLevel="1" x14ac:dyDescent="0.2"/>
    <row r="27" spans="2:5" outlineLevel="1" x14ac:dyDescent="0.2"/>
    <row r="28" spans="2:5" outlineLevel="1" x14ac:dyDescent="0.2"/>
    <row r="29" spans="2:5" outlineLevel="1" x14ac:dyDescent="0.2"/>
    <row r="30" spans="2:5" outlineLevel="1" x14ac:dyDescent="0.2"/>
    <row r="31" spans="2:5" ht="13.5" outlineLevel="1" x14ac:dyDescent="0.2">
      <c r="B31" s="7" t="str" cm="1">
        <f t="array" ref="B31">Header2</f>
        <v>1.3</v>
      </c>
      <c r="C31" s="7" t="s">
        <v>3</v>
      </c>
    </row>
    <row r="32" spans="2:5" outlineLevel="1" x14ac:dyDescent="0.2"/>
    <row r="33" spans="1:6" outlineLevel="1" x14ac:dyDescent="0.2">
      <c r="C33" s="16" t="s">
        <v>5</v>
      </c>
      <c r="D33" s="2"/>
      <c r="E33" s="17" t="s">
        <v>6</v>
      </c>
      <c r="F33" s="18">
        <v>3</v>
      </c>
    </row>
    <row r="34" spans="1:6" outlineLevel="1" x14ac:dyDescent="0.2">
      <c r="C34" s="3" t="s">
        <v>7</v>
      </c>
      <c r="D34" s="2"/>
      <c r="E34" s="17" t="s">
        <v>6</v>
      </c>
      <c r="F34" s="18">
        <v>12</v>
      </c>
    </row>
    <row r="35" spans="1:6" outlineLevel="1" x14ac:dyDescent="0.2">
      <c r="C35" s="3" t="s">
        <v>8</v>
      </c>
      <c r="D35" s="2"/>
      <c r="E35" s="17" t="s">
        <v>9</v>
      </c>
      <c r="F35" s="18">
        <v>30</v>
      </c>
    </row>
    <row r="36" spans="1:6" outlineLevel="1" x14ac:dyDescent="0.2">
      <c r="C36" s="3" t="s">
        <v>10</v>
      </c>
      <c r="D36" s="2"/>
      <c r="E36" s="17" t="s">
        <v>9</v>
      </c>
      <c r="F36" s="18">
        <v>365</v>
      </c>
    </row>
    <row r="37" spans="1:6" outlineLevel="1" x14ac:dyDescent="0.2"/>
    <row r="38" spans="1:6" outlineLevel="1" x14ac:dyDescent="0.2"/>
    <row r="39" spans="1:6" s="12" customFormat="1" ht="15.75" x14ac:dyDescent="0.25">
      <c r="A39" s="11" t="s">
        <v>1</v>
      </c>
      <c r="D39" s="13"/>
      <c r="E39" s="13"/>
    </row>
  </sheetData>
  <conditionalFormatting sqref="A10:A11">
    <cfRule type="expression" dxfId="3" priority="4" stopIfTrue="1">
      <formula>ABS(MasterCheck)&gt;Tolerance</formula>
    </cfRule>
  </conditionalFormatting>
  <conditionalFormatting sqref="A7:A9">
    <cfRule type="expression" dxfId="2" priority="3" stopIfTrue="1">
      <formula>ABS(MasterCheck)&gt;Tolerance</formula>
    </cfRule>
  </conditionalFormatting>
  <conditionalFormatting sqref="A6">
    <cfRule type="expression" dxfId="1" priority="2" stopIfTrue="1">
      <formula>ABS(MasterCheck)&gt;Tolerance</formula>
    </cfRule>
  </conditionalFormatting>
  <conditionalFormatting sqref="A5">
    <cfRule type="expression" dxfId="0" priority="1" stopIfTrue="1">
      <formula>ABS(MasterCheck)&gt;Tolerance</formula>
    </cfRule>
  </conditionalFormatting>
  <pageMargins left="0" right="0" top="0" bottom="0.78740157480314965" header="0" footer="0.51181102362204722"/>
  <pageSetup paperSize="8" fitToHeight="0" orientation="landscape" r:id="rId1"/>
  <headerFooter alignWithMargins="0">
    <oddFooter>&amp;L
&amp;A&amp;C
&amp;P  of  &amp;N&amp;R&amp;F
&amp;D &amp;T</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4EDB042D7FC684E908A7DFDA0AB28C5" ma:contentTypeVersion="22" ma:contentTypeDescription="Crear nuevo documento." ma:contentTypeScope="" ma:versionID="d0858715b6a407c2b7cdc53862dd12e0">
  <xsd:schema xmlns:xsd="http://www.w3.org/2001/XMLSchema" xmlns:xs="http://www.w3.org/2001/XMLSchema" xmlns:p="http://schemas.microsoft.com/office/2006/metadata/properties" xmlns:ns2="0f882170-b93b-456c-bc38-b2150284dbc5" xmlns:ns3="2914216a-1f90-4943-94c7-65cb5c20d582" targetNamespace="http://schemas.microsoft.com/office/2006/metadata/properties" ma:root="true" ma:fieldsID="01ca78db86d95177841e681a7082ab99" ns2:_="" ns3:_="">
    <xsd:import namespace="0f882170-b93b-456c-bc38-b2150284dbc5"/>
    <xsd:import namespace="2914216a-1f90-4943-94c7-65cb5c20d58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BillingMetadata" minOccurs="0"/>
                <xsd:element ref="ns2:MediaServiceLocation" minOccurs="0"/>
                <xsd:element ref="ns3:MigrationSourceID" minOccurs="0"/>
                <xsd:element ref="ns3:TaxKeywordTaxHTFiel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882170-b93b-456c-bc38-b2150284db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Etiquetas de imagen" ma:readOnly="false" ma:fieldId="{5cf76f15-5ced-4ddc-b409-7134ff3c332f}" ma:taxonomyMulti="true" ma:sspId="26c5db0a-38e5-4207-bcaf-02e02510a2e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914216a-1f90-4943-94c7-65cb5c20d582"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84dbd86e-c482-4a53-90e2-e2856464bca0}" ma:internalName="TaxCatchAll" ma:showField="CatchAllData" ma:web="2914216a-1f90-4943-94c7-65cb5c20d582">
      <xsd:complexType>
        <xsd:complexContent>
          <xsd:extension base="dms:MultiChoiceLookup">
            <xsd:sequence>
              <xsd:element name="Value" type="dms:Lookup" maxOccurs="unbounded" minOccurs="0" nillable="true"/>
            </xsd:sequence>
          </xsd:extension>
        </xsd:complexContent>
      </xsd:complexType>
    </xsd:element>
    <xsd:element name="MigrationSourceID" ma:index="21" nillable="true" ma:displayName="MigrationSourceID" ma:internalName="MigrationSourceID" ma:readOnly="true">
      <xsd:simpleType>
        <xsd:restriction base="dms:Text"/>
      </xsd:simpleType>
    </xsd:element>
    <xsd:element name="TaxKeywordTaxHTField" ma:index="23" nillable="true" ma:taxonomy="true" ma:internalName="TaxKeywordTaxHTField" ma:taxonomyFieldName="TaxKeyword" ma:displayName="Palabras clave de empresa" ma:fieldId="{23f27201-bee3-471e-b2e7-b64fd8b7ca38}" ma:taxonomyMulti="true" ma:sspId="26c5db0a-38e5-4207-bcaf-02e02510a2e3" ma:termSetId="00000000-0000-0000-0000-000000000000" ma:anchorId="00000000-0000-0000-0000-000000000000" ma:open="true" ma:isKeyword="tru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f882170-b93b-456c-bc38-b2150284dbc5">
      <Terms xmlns="http://schemas.microsoft.com/office/infopath/2007/PartnerControls"/>
    </lcf76f155ced4ddcb4097134ff3c332f>
    <TaxCatchAll xmlns="2914216a-1f90-4943-94c7-65cb5c20d582" xsi:nil="true"/>
    <TaxKeywordTaxHTField xmlns="2914216a-1f90-4943-94c7-65cb5c20d582">
      <Terms xmlns="http://schemas.microsoft.com/office/infopath/2007/PartnerControls"/>
    </TaxKeywordTaxHTFiel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3A6F5-0C2A-4A7E-ACBD-6A7AFAF2AF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882170-b93b-456c-bc38-b2150284dbc5"/>
    <ds:schemaRef ds:uri="2914216a-1f90-4943-94c7-65cb5c20d5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7CCAC4-6AB0-4DFC-924F-F9DAC5805EB3}">
  <ds:schemaRefs>
    <ds:schemaRef ds:uri="0f882170-b93b-456c-bc38-b2150284dbc5"/>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2914216a-1f90-4943-94c7-65cb5c20d582"/>
    <ds:schemaRef ds:uri="http://purl.org/dc/terms/"/>
    <ds:schemaRef ds:uri="http://purl.org/dc/elements/1.1/"/>
  </ds:schemaRefs>
</ds:datastoreItem>
</file>

<file path=customXml/itemProps3.xml><?xml version="1.0" encoding="utf-8"?>
<ds:datastoreItem xmlns:ds="http://schemas.openxmlformats.org/officeDocument/2006/customXml" ds:itemID="{7A489612-1BBA-4E1F-9DBE-4A4EDCBAA1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I_Long List</vt:lpstr>
      <vt:lpstr>Sheet1</vt:lpstr>
      <vt:lpstr>Template</vt:lpstr>
      <vt:lpstr>I_Gen</vt:lpstr>
      <vt:lpstr>DaysMonth</vt:lpstr>
      <vt:lpstr>DaysYear</vt:lpstr>
      <vt:lpstr>MonthsYear</vt:lpstr>
      <vt:lpstr>I_Gen!Print_Area</vt:lpstr>
      <vt:lpstr>'I_Long List'!Print_Area</vt:lpstr>
      <vt:lpstr>Template!Print_Area</vt:lpstr>
      <vt:lpstr>I_Gen!Print_Titles</vt:lpstr>
      <vt:lpstr>'I_Long List'!Print_Titles</vt:lpstr>
      <vt:lpstr>Template!Print_Titles</vt:lpstr>
    </vt:vector>
  </TitlesOfParts>
  <Manager/>
  <Company>Mench</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Menchaca</dc:creator>
  <cp:keywords/>
  <dc:description/>
  <cp:lastModifiedBy>Red Bean</cp:lastModifiedBy>
  <cp:revision/>
  <cp:lastPrinted>2024-08-20T05:04:33Z</cp:lastPrinted>
  <dcterms:created xsi:type="dcterms:W3CDTF">2003-11-18T16:17:15Z</dcterms:created>
  <dcterms:modified xsi:type="dcterms:W3CDTF">2026-07-16T05:33:42Z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0x010100F4EDB042D7FC684E908A7DFDA0AB28C5</vt:lpwstr>
  </property>
  <property fmtid="{D5CDD505-2E9C-101B-9397-08002B2CF9AE}" pid="3" name="MediaServiceImageTags">
    <vt:lpwstr/>
  </property>
  <property fmtid="{D5CDD505-2E9C-101B-9397-08002B2CF9AE}" pid="4" name="TaxKeyword">
    <vt:lpwstr/>
  </property>
</Properties>
</file>